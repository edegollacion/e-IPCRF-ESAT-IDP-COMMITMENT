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ctrlProps/ctrlProp54.xml" ContentType="application/vnd.ms-excel.controlproperties+xml"/>
  <Override PartName="/xl/drawings/drawing3.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4.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5.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drawings/drawing6.xml" ContentType="application/vnd.openxmlformats-officedocument.drawing+xml"/>
  <Override PartName="/xl/ctrlProps/ctrlProp165.xml" ContentType="application/vnd.ms-excel.controlproperties+xml"/>
  <Override PartName="/xl/drawings/drawing7.xml" ContentType="application/vnd.openxmlformats-officedocument.drawing+xml"/>
  <Override PartName="/xl/ctrlProps/ctrlProp166.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67.xml" ContentType="application/vnd.ms-excel.controlproperties+xml"/>
  <Override PartName="/xl/ctrlProps/ctrlProp168.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ellPC\Downloads\"/>
    </mc:Choice>
  </mc:AlternateContent>
  <xr:revisionPtr revIDLastSave="0" documentId="13_ncr:1_{937697C9-1BB5-4785-A486-BFDAF78CFF8D}" xr6:coauthVersionLast="47" xr6:coauthVersionMax="47" xr10:uidLastSave="{00000000-0000-0000-0000-000000000000}"/>
  <workbookProtection workbookAlgorithmName="SHA-512" workbookHashValue="oZqqIpdbobiIhky0QvRRWb4Zosb/mpUim6W7PZ+A6CqhXYipHmSydYWwmJw118OSwHeyKKfhJrOAggrc0lBqdg==" workbookSaltValue="D0hIPy212c1vjsv0E7AY2g==" workbookSpinCount="100000" lockStructure="1"/>
  <bookViews>
    <workbookView xWindow="-108" yWindow="-108" windowWidth="23256" windowHeight="12576" tabRatio="871" firstSheet="5" activeTab="5" xr2:uid="{69BFC4D6-108D-4090-8B58-74F02B0BDAC1}"/>
  </bookViews>
  <sheets>
    <sheet name="meta" sheetId="27" state="hidden" r:id="rId1"/>
    <sheet name="tbl_demographic" sheetId="29" state="hidden" r:id="rId2"/>
    <sheet name="tbl_profstandards_ratings" sheetId="30" state="hidden" r:id="rId3"/>
    <sheet name="data1" sheetId="16" state="hidden" r:id="rId4"/>
    <sheet name="data2" sheetId="17" state="hidden" r:id="rId5"/>
    <sheet name="Status" sheetId="21" r:id="rId6"/>
    <sheet name="HOME" sheetId="18" state="hidden" r:id="rId7"/>
    <sheet name="Privacy Notice" sheetId="19" state="hidden" r:id="rId8"/>
    <sheet name="Demographic Profile" sheetId="20" state="hidden" r:id="rId9"/>
    <sheet name="Encoding Part 1" sheetId="22" state="hidden" r:id="rId10"/>
    <sheet name="PART 1-BtP" sheetId="23" r:id="rId11"/>
    <sheet name="PART 1-P" sheetId="24" state="hidden" r:id="rId12"/>
    <sheet name="PART 1-HP" sheetId="25" state="hidden" r:id="rId13"/>
    <sheet name="PART 1-D" sheetId="26" state="hidden" r:id="rId14"/>
    <sheet name="Part 2-A" sheetId="10" r:id="rId15"/>
    <sheet name="Part 2-B" sheetId="9" state="hidden" r:id="rId16"/>
    <sheet name="PART 3-BtP" sheetId="11" r:id="rId17"/>
    <sheet name="PART 3-P" sheetId="14" state="hidden" r:id="rId18"/>
    <sheet name="PART 3-HP" sheetId="13" state="hidden" r:id="rId19"/>
    <sheet name="PART 3-D" sheetId="12" state="hidden" r:id="rId20"/>
    <sheet name="PART 4-IDP" sheetId="15" r:id="rId21"/>
    <sheet name="PART 5-Commitment" sheetId="32" state="hidden" r:id="rId22"/>
  </sheets>
  <definedNames>
    <definedName name="_xleta.AVERAGE" hidden="1" xlm="1">#NAME?</definedName>
    <definedName name="_xleta.CHOOSE" hidden="1" xlm="1">#NAME?</definedName>
    <definedName name="_xleta.COUNTBLANK" hidden="1" xlm="1">#NAME?</definedName>
    <definedName name="_xleta.IF" hidden="1" xlm="1">#NAME?</definedName>
    <definedName name="_xleta.IFERROR" hidden="1" xlm="1">#NAME?</definedName>
    <definedName name="_xleta.ISBLANK" hidden="1" xlm="1">#NAME?</definedName>
    <definedName name="_xleta.MATCH" hidden="1" xlm="1">#NAME?</definedName>
    <definedName name="adjectivalrating">data2!$I$2:$J$6</definedName>
    <definedName name="admin_coi">data2!$AE$7</definedName>
    <definedName name="admin_coi_ncoi">data2!$AE$7:$AE$9</definedName>
    <definedName name="admin_ncoi">data2!$AE$8</definedName>
    <definedName name="age_list">data2!$S$2:$S$9</definedName>
    <definedName name="approvingpositions_list">data2!$Z$2:$Z$30</definedName>
    <definedName name="BARMM_divlist">data1!$B$2:$B$12</definedName>
    <definedName name="BARMM_vlookup">data1!$B$2:$C$12</definedName>
    <definedName name="BtP_COI">data2!$AH$2:$AH$15</definedName>
    <definedName name="BtP_COT">data2!$G$2:$G$6</definedName>
    <definedName name="BtP_COT_vlookup">data2!$G$2:$H$6</definedName>
    <definedName name="BtP_COTno">data2!$AI$2:$AI$15</definedName>
    <definedName name="BtP_Ind">data2!$AG$2:$AG$15</definedName>
    <definedName name="BtP_positions">data2!$R$2:$R$4</definedName>
    <definedName name="BtP_QET">data2!$AJ$2:$AM$15</definedName>
    <definedName name="CAR_divlist">data1!$B$13:$B$20</definedName>
    <definedName name="CAR_vlookup">data1!$B$13:$C$20</definedName>
    <definedName name="Class1">data1!$J$2</definedName>
    <definedName name="Class10">data1!$J$27:$J$28</definedName>
    <definedName name="Class11">data1!$J$29</definedName>
    <definedName name="Class12">data1!$J$30:$J$31</definedName>
    <definedName name="Class13">data1!$J$32:$J$33</definedName>
    <definedName name="Class14">data1!$J$34:$J$36</definedName>
    <definedName name="Class15">data1!$J$37</definedName>
    <definedName name="Class16">data1!$J$38:$J$39</definedName>
    <definedName name="Class17">data1!$J$40</definedName>
    <definedName name="Class18">data1!$J$41:$J$42</definedName>
    <definedName name="Class2">data1!$J$3:$J$4</definedName>
    <definedName name="Class3">data1!$J$5:$J$7</definedName>
    <definedName name="Class4">data1!$J$8:$J$11</definedName>
    <definedName name="Class5">data1!$J$12:$J$14</definedName>
    <definedName name="Class6">data1!$J$15:$J$17</definedName>
    <definedName name="Class7">data1!$J$18:$J$21</definedName>
    <definedName name="Class8">data1!$J$22:$J$23</definedName>
    <definedName name="Class9">data1!$J$24:$J$26</definedName>
    <definedName name="classification_list">data2!$N$2:$N$4</definedName>
    <definedName name="coi_blank">data2!$AE$4</definedName>
    <definedName name="coi_ncoi">data2!$AE$2:$AE$3</definedName>
    <definedName name="coi_ncoi_select">'Encoding Part 1'!$C$14:$C$27</definedName>
    <definedName name="competency_level">data2!$AA$2:$AA$5</definedName>
    <definedName name="competency_level_vlookup">data2!$AA$2:$AB$5</definedName>
    <definedName name="core">'Part 2-A'!$Y$11:$Z$15</definedName>
    <definedName name="cot_inc_rating_sy_end">data2!$AF$2</definedName>
    <definedName name="cotsubjects_list">data2!$Y$6:$Y$25</definedName>
    <definedName name="curricular_classification_list">data1!$K$2:$K$19</definedName>
    <definedName name="curricular_classification_vlookup">data1!$K$2:$L$19</definedName>
    <definedName name="D_COI">data2!$BC$2:$BC$15</definedName>
    <definedName name="D_COT">data2!$A$2:$A$6</definedName>
    <definedName name="D_COT_vlookup">data2!$A$2:$B$6</definedName>
    <definedName name="D_COTno">data2!$BD$2:$BD$15</definedName>
    <definedName name="D_Ind">data2!$BB$2:$BB$15</definedName>
    <definedName name="D_positions">data2!$R$11:$R$12</definedName>
    <definedName name="D_QET">data2!$BE$2:$BH$15</definedName>
    <definedName name="degree_list">data2!$X$2:$X$4</definedName>
    <definedName name="demographics_age" localSheetId="8">'Demographic Profile'!$N$13</definedName>
    <definedName name="demographics_classification" localSheetId="8">'Demographic Profile'!$F$14</definedName>
    <definedName name="demographics_dropdown_select_check" localSheetId="8">'Demographic Profile'!$U$3:$V$14</definedName>
    <definedName name="demographics_email" localSheetId="8">'Demographic Profile'!$R$11</definedName>
    <definedName name="demographics_email_check" localSheetId="8">'Demographic Profile'!$R$128</definedName>
    <definedName name="demographics_employee_info" localSheetId="8">'Demographic Profile'!$N$7:$N$14</definedName>
    <definedName name="demographics_empstatus" localSheetId="8">'Demographic Profile'!$N$12</definedName>
    <definedName name="demographics_experience" localSheetId="8">'Demographic Profile'!$R$7:$R$8</definedName>
    <definedName name="demographics_firstname" localSheetId="8">'Demographic Profile'!$N$8</definedName>
    <definedName name="demographics_id_check" localSheetId="8">'Demographic Profile'!$N$127</definedName>
    <definedName name="demographics_lastname" localSheetId="8">'Demographic Profile'!$N$7</definedName>
    <definedName name="demographics_level" localSheetId="8">'Demographic Profile'!$R$10</definedName>
    <definedName name="demographics_middlename" localSheetId="8">'Demographic Profile'!$N$9</definedName>
    <definedName name="demographics_others_check" localSheetId="8">'Demographic Profile'!$Q$81:$R$82</definedName>
    <definedName name="demographics_position" localSheetId="8">'Demographic Profile'!$N$11</definedName>
    <definedName name="demographics_position">data2!$R$2:$R$12</definedName>
    <definedName name="demographics_save_attempt" localSheetId="8">'Demographic Profile'!$C$75</definedName>
    <definedName name="demographics_school_info" localSheetId="8">'Demographic Profile'!$F$7:$F$14</definedName>
    <definedName name="demographics_sex" localSheetId="8">'Demographic Profile'!$N$14</definedName>
    <definedName name="demographics_tickbox_check" localSheetId="8">'Demographic Profile'!$Q$76:$R$79</definedName>
    <definedName name="Dindicators">data1!$R$2:$S$38</definedName>
    <definedName name="divisionid">data1!$B$2:$C$240</definedName>
    <definedName name="Dobjectives">data1!$R$2:$R$38</definedName>
    <definedName name="elemgrade_list">data2!$Q$2:$Q$10</definedName>
    <definedName name="emp_status_list">data2!$U$2:$U$5</definedName>
    <definedName name="encoding_approver_email_range">'Encoding Part 1'!$L$34:$L$34</definedName>
    <definedName name="encoding_approver_firstname_range">'Encoding Part 1'!$L$33:$M$33</definedName>
    <definedName name="encoding_approver_info">'Encoding Part 1'!$H$33:$H$34</definedName>
    <definedName name="encoding_approver_lastname_range">'Encoding Part 1'!$G$33:$K$33</definedName>
    <definedName name="encoding_approver_middlename_range">'Encoding Part 1'!$O$33:$O$33</definedName>
    <definedName name="encoding_approver_position_range">'Encoding Part 1'!$G$34:$L$34</definedName>
    <definedName name="encoding_co_select">'Encoding Part 1'!$C$14:$C$27</definedName>
    <definedName name="encoding_cot_ave">'Encoding Part 1'!$H$14:$H$27</definedName>
    <definedName name="encoding_COT1_date">'Encoding Part 1'!$F$28:$G$28</definedName>
    <definedName name="encoding_COT1_ratings">'Encoding Part 1'!$F$14:$F$27</definedName>
    <definedName name="encoding_cot1_scale">'Encoding Part 1'!$G$14:$G$27</definedName>
    <definedName name="encoding_COT1_subject">'Encoding Part 1'!$F$12:$G$12</definedName>
    <definedName name="encoding_e_input">'Encoding Part 1'!$K$14:$K$27</definedName>
    <definedName name="encoding_q_input">'Encoding Part 1'!$I$14:$I$27</definedName>
    <definedName name="encoding_rater_email_range">'Encoding Part 1'!$M$8:$O$8</definedName>
    <definedName name="encoding_rater_firstname_range">'Encoding Part 1'!$M$7:$N$7</definedName>
    <definedName name="encoding_rater_info">'Encoding Part 1'!$L$7:$L$9</definedName>
    <definedName name="encoding_rater_lastname_range">'Encoding Part 1'!$H$7:$K$7</definedName>
    <definedName name="encoding_rater_middlename">'Encoding Part 1'!$O$7</definedName>
    <definedName name="encoding_rater_middlename_range">'Encoding Part 1'!$O$7:$O$7</definedName>
    <definedName name="encoding_rater_position_range">'Encoding Part 1'!$H$8:$K$8</definedName>
    <definedName name="encoding_review_date_range">'Encoding Part 1'!$H$9:$I$9</definedName>
    <definedName name="encoding_t_input">'Encoding Part 1'!$L$14:$L$27</definedName>
    <definedName name="encoding_weights">'Encoding Part 1'!$D$14:$D$27</definedName>
    <definedName name="final_rating">'Encoding Part 1'!$N$28</definedName>
    <definedName name="HP_COI">data2!$AV$2:$AV$15</definedName>
    <definedName name="HP_COT">data2!$C$2:$C$6</definedName>
    <definedName name="HP_COT_vlookup">data2!$C$2:$D$6</definedName>
    <definedName name="HP_COTno">data2!$AW$2:$AW$15</definedName>
    <definedName name="HP_Ind">data2!$AU$2:$AU$15</definedName>
    <definedName name="HP_positions">data2!$R$9:$R$10</definedName>
    <definedName name="HP_QET">data2!$AX$2:$BA$15</definedName>
    <definedName name="HPindicators">data1!$P$2:$Q$38</definedName>
    <definedName name="HPobjectives">data1!$P$2:$P$38</definedName>
    <definedName name="jhsgrade_list">data2!$Q$9:$Q$14</definedName>
    <definedName name="kinder_list">data2!$O$2</definedName>
    <definedName name="level_taught_list">data2!$O$2:$O$5</definedName>
    <definedName name="level_vlookup">data2!$O$2:$P$5</definedName>
    <definedName name="NCR_divlist">data1!$B$21:$B$36</definedName>
    <definedName name="NCR_vlookup">data1!$B$21:$C$36</definedName>
    <definedName name="NIR_divlist">data1!$B$37:$B$58</definedName>
    <definedName name="NIR_vlookup">data1!$B$37:$C$58</definedName>
    <definedName name="NoCOlist">data2!$Y$39:$Y$39</definedName>
    <definedName name="P_COI">data2!$AO$2:$AO$15</definedName>
    <definedName name="P_COT">data2!$E$2:$E$6</definedName>
    <definedName name="P_COT_vlookup">data2!$E$2:$F$6</definedName>
    <definedName name="P_COTno">data2!$AP$2:$AP$15</definedName>
    <definedName name="P_Ind">data2!$AN$2:$AN$15</definedName>
    <definedName name="P_positions">data2!$R$5:$R$8</definedName>
    <definedName name="P_QET">data2!$AQ$2:$AT$15</definedName>
    <definedName name="PART1_adjustable_rows" localSheetId="13">'PART 1-D'!$F$12:$K$80</definedName>
    <definedName name="PART1_adjustable_rows" localSheetId="12">'PART 1-HP'!$F$12:$K$78</definedName>
    <definedName name="PART1_adjustable_rows" localSheetId="11">'PART 1-P'!$F$12:$K$73</definedName>
    <definedName name="PART1_adjustable_rows">'PART 1-BtP'!$F$12:$K$73</definedName>
    <definedName name="Part1_data">'Encoding Part 1'!$I$14:$O$27</definedName>
    <definedName name="part4_areAllValid">'PART 4-IDP'!$U$4</definedName>
    <definedName name="part4_behavioral">'PART 4-IDP'!$E$11:$H$13</definedName>
    <definedName name="part4_behavioral_adjustable_rows">'PART 4-IDP'!$A$11:$D$13</definedName>
    <definedName name="part4_behavioral_strengths">'PART 4-IDP'!$J$11:$J$13</definedName>
    <definedName name="part4_behavioral_weakness">'PART 4-IDP'!$O$11:$O$13</definedName>
    <definedName name="part4_finalize_attempt">'PART 4-IDP'!$U$3</definedName>
    <definedName name="part4_functional">'PART 4-IDP'!$E$7:$H$9</definedName>
    <definedName name="part4_functional_adjustable_rows">'PART 4-IDP'!$A$7:$D$9</definedName>
    <definedName name="part4_functional_strengths">'PART 4-IDP'!$J$7:$J$9</definedName>
    <definedName name="part4_functional_weakness">'PART 4-IDP'!$O$7:$O$9</definedName>
    <definedName name="Pindicators">data1!$N$2:$O$38</definedName>
    <definedName name="Pobjectives">data1!$N$2:$N$38</definedName>
    <definedName name="positions_list">data2!$R$2:$R$17</definedName>
    <definedName name="_xlnm.Print_Area" localSheetId="9">'Encoding Part 1'!$A$1:$O$1</definedName>
    <definedName name="_xlnm.Print_Area" localSheetId="10">'PART 1-BtP'!$A$1:$P$87</definedName>
    <definedName name="_xlnm.Print_Area" localSheetId="13">'PART 1-D'!$A$1:$Q$94</definedName>
    <definedName name="_xlnm.Print_Area" localSheetId="12">'PART 1-HP'!$A$1:$Q$92</definedName>
    <definedName name="_xlnm.Print_Area" localSheetId="11">'PART 1-P'!$A$1:$P$87</definedName>
    <definedName name="_xlnm.Print_Area" localSheetId="14">'Part 2-A'!$A$1:$U$65</definedName>
    <definedName name="_xlnm.Print_Area" localSheetId="15">'Part 2-B'!$A$1:$H$31</definedName>
    <definedName name="_xlnm.Print_Area" localSheetId="20">'PART 4-IDP'!$A$1:$H$24</definedName>
    <definedName name="_xlnm.Print_Area" localSheetId="21">'PART 5-Commitment'!$A$1:$H$17</definedName>
    <definedName name="_xlnm.Print_Area" localSheetId="5">Status!$A$1:$P$5</definedName>
    <definedName name="_xlnm.Print_Titles" localSheetId="10">'PART 1-BtP'!$8:$11</definedName>
    <definedName name="_xlnm.Print_Titles" localSheetId="13">'PART 1-D'!$8:$11</definedName>
    <definedName name="_xlnm.Print_Titles" localSheetId="12">'PART 1-HP'!$8:$11</definedName>
    <definedName name="_xlnm.Print_Titles" localSheetId="11">'PART 1-P'!$8:$11</definedName>
    <definedName name="_xlnm.Print_Titles" localSheetId="20">'PART 4-IDP'!$3:$5</definedName>
    <definedName name="profile_emp_info1" localSheetId="8">'Demographic Profile'!$N$7:$N$14</definedName>
    <definedName name="profile_emp_info1" localSheetId="5">Status!$N$7:$N$12</definedName>
    <definedName name="profile_emp_info2" localSheetId="8">'Demographic Profile'!$R$7:$R$12</definedName>
    <definedName name="profile_school_info" localSheetId="8">'Demographic Profile'!$F$7:$F$14</definedName>
    <definedName name="profile_school_info" localSheetId="5">Status!$F$7:$F$13</definedName>
    <definedName name="profile_specialization" localSheetId="8">'Demographic Profile'!$C$77:$C$93</definedName>
    <definedName name="profile_specialization_others" localSheetId="8">'Demographic Profile'!$O$47</definedName>
    <definedName name="profile_strands" localSheetId="8">'Demographic Profile'!$M$102:$M$113</definedName>
    <definedName name="profile_subjects" localSheetId="8">'Demographic Profile'!$M$77:$M$96</definedName>
    <definedName name="profile_subjects_others" localSheetId="8">'Demographic Profile'!$O$61</definedName>
    <definedName name="rater_position">data2!$Z$2:$Z$29</definedName>
    <definedName name="raterpositions_list">data2!$Z$5:$Z$30</definedName>
    <definedName name="rating_desc_vlookup">data2!$I$2:$K$6</definedName>
    <definedName name="REG1_divlist">data1!$B$59:$B$72</definedName>
    <definedName name="REG1_vlookup">data1!$B$59:$C$72</definedName>
    <definedName name="REG10_divlist">data1!$B$196:$B$209</definedName>
    <definedName name="REG10_vlookup">data1!$B$196:$C$209</definedName>
    <definedName name="REG11_divlist">data1!$B$210:$B$220</definedName>
    <definedName name="REG11_vlookup">data1!$B$210:$C$220</definedName>
    <definedName name="REG12_divlist">data1!$B$221:$B$228</definedName>
    <definedName name="REG12_vlookup">data1!$B$221:$C$228</definedName>
    <definedName name="REG13_divlist">data1!$B$229:$B$240</definedName>
    <definedName name="REG13_vlookup">data1!$B$229:$C$240</definedName>
    <definedName name="REG2_divlist">data1!$B$73:$B$81</definedName>
    <definedName name="REG2_vlookup">data1!$B$73:$C$81</definedName>
    <definedName name="REG3_divlist">data1!$B$82:$B$102</definedName>
    <definedName name="REG3_vlookup">data1!$B$82:$C$102</definedName>
    <definedName name="REG4A_divlist">data1!$B$103:$B$125</definedName>
    <definedName name="REG4A_vlookup">data1!$B$103:$C$125</definedName>
    <definedName name="REG4B_divlist">data1!$B$126:$B$132</definedName>
    <definedName name="REG4B_vlookup">data1!$B$126:$C$132</definedName>
    <definedName name="REG5_divlist">data1!$B$133:$B$145</definedName>
    <definedName name="REG5_vlookup">data1!$B$133:$C$145</definedName>
    <definedName name="REG6_divlist">data1!$B$146:$B$153</definedName>
    <definedName name="REG6_vlookup">data1!$B$146:$C$153</definedName>
    <definedName name="REG7_divlist">data1!$B$154:$B$173</definedName>
    <definedName name="REG7_vlookup">data1!$B$154:$C$173</definedName>
    <definedName name="REG8_divlist">data1!$B$174:$B$186</definedName>
    <definedName name="REG8_vlookup">data1!$B$174:$C$186</definedName>
    <definedName name="REG9_divlist">data1!$B$187:$B$195</definedName>
    <definedName name="REG9_vlookup">data1!$B$187:$C$195</definedName>
    <definedName name="regionid">data1!$E$2:$F$19</definedName>
    <definedName name="regions_list">data1!$E$2:$E$19</definedName>
    <definedName name="regions_vlookup">data1!$E$2:$H$19</definedName>
    <definedName name="RI_divlist">data1!$B$59:$B$72</definedName>
    <definedName name="RII_divlist">data1!$B$73:$B$81</definedName>
    <definedName name="RIII_divlist">data1!$B$82:$B$102</definedName>
    <definedName name="RIVA_divlist">data1!$B$103:$B$124</definedName>
    <definedName name="RIVB_divlist">data1!$B$126:$B$132</definedName>
    <definedName name="RIX_divlist">data1!$B$187:$B$195</definedName>
    <definedName name="RV_divlist">data1!$B$133:$B$145</definedName>
    <definedName name="RVI_divlist">data1!$B$146:$B$153</definedName>
    <definedName name="RVII_divlist">data1!$B$154:$B$172</definedName>
    <definedName name="RVIII_divlist">data1!$B$174:$B$186</definedName>
    <definedName name="RX_divlist">data1!$B$196:$B$209</definedName>
    <definedName name="RXI_divlist">data1!$B$210:$B$220</definedName>
    <definedName name="RXII_divlist">data1!$B$221:$B$228</definedName>
    <definedName name="school_name">'Demographic Profile'!$F$10</definedName>
    <definedName name="school_size_list">data2!$M$2:$M$5</definedName>
    <definedName name="school_type_list">data2!$L$2:$L$3</definedName>
    <definedName name="selected_career_stage">HOME!$E$17</definedName>
    <definedName name="sex_list">data2!$T$2:$T$3</definedName>
    <definedName name="shsgrade_list">data2!$Q$15:$Q$17</definedName>
    <definedName name="specialization_list">data2!$W$2:$W$17</definedName>
    <definedName name="status_version">Status!$F$14</definedName>
    <definedName name="strands_list">data2!$Y$26:$Y$39</definedName>
    <definedName name="subjects">data2!$Y$2:$Y$39</definedName>
    <definedName name="subjects_list">data2!$Y$2:$Y$25</definedName>
    <definedName name="teacher_type_code_lookup">data2!$AC$2:$AD$3</definedName>
    <definedName name="teacher_type_list">data2!$AC$2:$AC$3</definedName>
    <definedName name="years_in_teaching">data2!$V$2:$V$4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1" i="11" l="1"/>
  <c r="E24" i="11"/>
  <c r="E25" i="11"/>
  <c r="E26" i="11"/>
  <c r="E27" i="11"/>
  <c r="Q7" i="22"/>
  <c r="B33" i="22" s="1"/>
  <c r="J12" i="20"/>
  <c r="J11" i="20"/>
  <c r="J9" i="20"/>
  <c r="J10" i="20"/>
  <c r="Q33" i="22"/>
  <c r="I38" i="12" s="1"/>
  <c r="G23" i="15" l="1"/>
  <c r="R63" i="10"/>
  <c r="E28" i="9"/>
  <c r="J91" i="25"/>
  <c r="F16" i="32"/>
  <c r="H37" i="11"/>
  <c r="H37" i="14"/>
  <c r="J86" i="24"/>
  <c r="J93" i="26"/>
  <c r="J86" i="23"/>
  <c r="I38" i="13"/>
  <c r="D14" i="27" l="1"/>
  <c r="B14" i="27" s="1"/>
  <c r="D13" i="27"/>
  <c r="B13" i="27" s="1"/>
  <c r="D12" i="27"/>
  <c r="B12" i="27" s="1"/>
  <c r="D11" i="27"/>
  <c r="B11" i="27" s="1"/>
  <c r="N6" i="15"/>
  <c r="I19" i="21"/>
  <c r="I21" i="30"/>
  <c r="H21" i="30"/>
  <c r="G21" i="30"/>
  <c r="F21" i="30"/>
  <c r="E21" i="30"/>
  <c r="D21" i="30"/>
  <c r="I20" i="30"/>
  <c r="H20" i="30"/>
  <c r="G20" i="30"/>
  <c r="F20" i="30"/>
  <c r="E20" i="30"/>
  <c r="D20" i="30"/>
  <c r="G19" i="30"/>
  <c r="F19" i="30"/>
  <c r="E19" i="30"/>
  <c r="D19" i="30"/>
  <c r="G11" i="32"/>
  <c r="H11" i="32" s="1"/>
  <c r="G10" i="32"/>
  <c r="H10" i="32" s="1"/>
  <c r="G9" i="32"/>
  <c r="H9" i="32" s="1"/>
  <c r="I19" i="30" s="1"/>
  <c r="H19" i="30" l="1"/>
  <c r="J10" i="32"/>
  <c r="J9" i="32"/>
  <c r="R2" i="29"/>
  <c r="B5" i="27" s="1" a="1"/>
  <c r="B5" i="27" s="1"/>
  <c r="C19" i="30" s="1"/>
  <c r="H2" i="29"/>
  <c r="B27" i="27" s="1" a="1"/>
  <c r="B27" i="27" s="1"/>
  <c r="G2" i="29"/>
  <c r="K2" i="29"/>
  <c r="J2" i="29"/>
  <c r="I2" i="29"/>
  <c r="F2" i="29"/>
  <c r="B24" i="27" s="1" a="1"/>
  <c r="B24" i="27" s="1"/>
  <c r="D2" i="29"/>
  <c r="B23" i="27" s="1" a="1"/>
  <c r="B23" i="27" s="1"/>
  <c r="L2" i="29"/>
  <c r="I15" i="30"/>
  <c r="H15" i="30"/>
  <c r="G15" i="30"/>
  <c r="F15" i="30"/>
  <c r="I14" i="30"/>
  <c r="H14" i="30"/>
  <c r="G14" i="30"/>
  <c r="F14" i="30"/>
  <c r="I13" i="30"/>
  <c r="H13" i="30"/>
  <c r="G13" i="30"/>
  <c r="F13" i="30"/>
  <c r="I12" i="30"/>
  <c r="H12" i="30"/>
  <c r="G12" i="30"/>
  <c r="F12" i="30"/>
  <c r="I11" i="30"/>
  <c r="H11" i="30"/>
  <c r="G11" i="30"/>
  <c r="I10" i="30"/>
  <c r="H10" i="30"/>
  <c r="G10" i="30"/>
  <c r="I9" i="30"/>
  <c r="H9" i="30"/>
  <c r="G9" i="30"/>
  <c r="F9" i="30"/>
  <c r="I8" i="30"/>
  <c r="H8" i="30"/>
  <c r="G8" i="30"/>
  <c r="I7" i="30"/>
  <c r="H7" i="30"/>
  <c r="G7" i="30"/>
  <c r="I6" i="30"/>
  <c r="H6" i="30"/>
  <c r="G6" i="30"/>
  <c r="I5" i="30"/>
  <c r="H5" i="30"/>
  <c r="G5" i="30"/>
  <c r="I4" i="30"/>
  <c r="H4" i="30"/>
  <c r="G4" i="30"/>
  <c r="I3" i="30"/>
  <c r="H3" i="30"/>
  <c r="G3" i="30"/>
  <c r="I2" i="30"/>
  <c r="H2" i="30"/>
  <c r="G2" i="30"/>
  <c r="E15" i="30"/>
  <c r="E14" i="30"/>
  <c r="E13" i="30"/>
  <c r="E12" i="30"/>
  <c r="E11" i="30"/>
  <c r="E10" i="30"/>
  <c r="E9" i="30"/>
  <c r="E8" i="30"/>
  <c r="E7" i="30"/>
  <c r="E6" i="30"/>
  <c r="E5" i="30"/>
  <c r="E4" i="30"/>
  <c r="E3" i="30"/>
  <c r="E2" i="30"/>
  <c r="B15" i="30"/>
  <c r="B14" i="30"/>
  <c r="B13" i="30"/>
  <c r="B12" i="30"/>
  <c r="B11" i="30"/>
  <c r="B10" i="30"/>
  <c r="B9" i="30"/>
  <c r="B8" i="30"/>
  <c r="B7" i="30"/>
  <c r="B6" i="30"/>
  <c r="B5" i="30"/>
  <c r="B4" i="30"/>
  <c r="B3" i="30"/>
  <c r="B2" i="30"/>
  <c r="B10" i="32"/>
  <c r="B11" i="32"/>
  <c r="B9" i="32"/>
  <c r="E2" i="29" l="1"/>
  <c r="A2" i="29" s="1"/>
  <c r="B21" i="27" s="1" a="1"/>
  <c r="B21" i="27" s="1"/>
  <c r="C2" i="29"/>
  <c r="B2" i="29"/>
  <c r="B19" i="30" s="1" a="1"/>
  <c r="B19" i="30" s="1"/>
  <c r="B26" i="27" a="1"/>
  <c r="B26" i="27" s="1"/>
  <c r="BN2" i="29"/>
  <c r="BM2" i="29"/>
  <c r="BL2" i="29"/>
  <c r="BK2" i="29"/>
  <c r="BJ2" i="29"/>
  <c r="BI2" i="29"/>
  <c r="BH2" i="29"/>
  <c r="BG2" i="29"/>
  <c r="BD2" i="29"/>
  <c r="BF2" i="29"/>
  <c r="BE2" i="29"/>
  <c r="Y2" i="29"/>
  <c r="X2" i="29"/>
  <c r="W2" i="29"/>
  <c r="V2" i="29"/>
  <c r="U2" i="29"/>
  <c r="T2" i="29"/>
  <c r="B25" i="27" s="1" a="1"/>
  <c r="B25" i="27" s="1"/>
  <c r="S2" i="29"/>
  <c r="Q2" i="29"/>
  <c r="P2" i="29"/>
  <c r="O2" i="29"/>
  <c r="N2" i="29"/>
  <c r="M2" i="29"/>
  <c r="B3" i="20"/>
  <c r="A19" i="30" l="1"/>
  <c r="A2" i="30"/>
  <c r="I39" i="12"/>
  <c r="I39" i="13"/>
  <c r="E14" i="22" l="1" a="1"/>
  <c r="E14" i="22" s="1"/>
  <c r="F29" i="22" s="1" a="1"/>
  <c r="F29" i="22" s="1"/>
  <c r="D15" i="27" s="1"/>
  <c r="B15" i="27" s="1"/>
  <c r="C14" i="22" a="1"/>
  <c r="C14" i="22" s="1"/>
  <c r="B14" i="22" a="1"/>
  <c r="O55" i="26"/>
  <c r="N55" i="26"/>
  <c r="O49" i="26"/>
  <c r="N49" i="26"/>
  <c r="O45" i="26"/>
  <c r="N45" i="26"/>
  <c r="M45" i="26"/>
  <c r="O41" i="26"/>
  <c r="N41" i="26"/>
  <c r="M41" i="26"/>
  <c r="O38" i="26"/>
  <c r="N38" i="26"/>
  <c r="O34" i="26"/>
  <c r="N34" i="26"/>
  <c r="M34" i="26"/>
  <c r="O30" i="26"/>
  <c r="N30" i="26"/>
  <c r="M30" i="26"/>
  <c r="O26" i="26"/>
  <c r="N26" i="26"/>
  <c r="M26" i="26"/>
  <c r="O22" i="26"/>
  <c r="N22" i="26"/>
  <c r="M22" i="26"/>
  <c r="O18" i="26"/>
  <c r="N18" i="26"/>
  <c r="M18" i="26"/>
  <c r="O15" i="26"/>
  <c r="N15" i="26"/>
  <c r="L58" i="26"/>
  <c r="L55" i="26"/>
  <c r="L52" i="26"/>
  <c r="L49" i="26"/>
  <c r="L38" i="26"/>
  <c r="O12" i="26"/>
  <c r="N12" i="26"/>
  <c r="M12" i="26"/>
  <c r="O56" i="25"/>
  <c r="N56" i="25"/>
  <c r="L56" i="25"/>
  <c r="O53" i="25"/>
  <c r="N53" i="25"/>
  <c r="L53" i="25"/>
  <c r="O50" i="25"/>
  <c r="N50" i="25"/>
  <c r="L50" i="25"/>
  <c r="O47" i="25"/>
  <c r="N47" i="25"/>
  <c r="L47" i="25"/>
  <c r="O43" i="25"/>
  <c r="N43" i="25"/>
  <c r="M43" i="25"/>
  <c r="O39" i="25"/>
  <c r="N39" i="25"/>
  <c r="M39" i="25"/>
  <c r="O36" i="25"/>
  <c r="N36" i="25"/>
  <c r="L36" i="25"/>
  <c r="O33" i="25"/>
  <c r="N33" i="25"/>
  <c r="O29" i="25"/>
  <c r="N29" i="25"/>
  <c r="M29" i="25"/>
  <c r="O26" i="25"/>
  <c r="N26" i="25"/>
  <c r="O22" i="25"/>
  <c r="N22" i="25"/>
  <c r="M22" i="25"/>
  <c r="O19" i="25"/>
  <c r="N19" i="25"/>
  <c r="O15" i="25"/>
  <c r="N15" i="25"/>
  <c r="O71" i="24"/>
  <c r="P71" i="24" s="1"/>
  <c r="O68" i="24"/>
  <c r="P68" i="24" s="1"/>
  <c r="O65" i="24"/>
  <c r="P65" i="24" s="1"/>
  <c r="O62" i="24"/>
  <c r="P62" i="24" s="1"/>
  <c r="O59" i="24"/>
  <c r="P59" i="24" s="1"/>
  <c r="O56" i="24"/>
  <c r="P56" i="24" s="1"/>
  <c r="N51" i="24"/>
  <c r="M51" i="24"/>
  <c r="L51" i="24"/>
  <c r="N48" i="24"/>
  <c r="M48" i="24"/>
  <c r="L48" i="24"/>
  <c r="N45" i="24"/>
  <c r="M45" i="24"/>
  <c r="L45" i="24"/>
  <c r="N42" i="24"/>
  <c r="M42" i="24"/>
  <c r="L42" i="24"/>
  <c r="N39" i="24"/>
  <c r="M39" i="24"/>
  <c r="N36" i="24"/>
  <c r="M36" i="24"/>
  <c r="N33" i="24"/>
  <c r="M33" i="24"/>
  <c r="L33" i="24"/>
  <c r="N30" i="24"/>
  <c r="M30" i="24"/>
  <c r="N27" i="24"/>
  <c r="M27" i="24"/>
  <c r="N24" i="24"/>
  <c r="M24" i="24"/>
  <c r="N21" i="24"/>
  <c r="M21" i="24"/>
  <c r="N18" i="24"/>
  <c r="M18" i="24"/>
  <c r="N15" i="24"/>
  <c r="M15" i="24"/>
  <c r="N12" i="24"/>
  <c r="M12" i="24"/>
  <c r="N51" i="23"/>
  <c r="M51" i="23"/>
  <c r="L51" i="23"/>
  <c r="N48" i="23"/>
  <c r="M48" i="23"/>
  <c r="L48" i="23"/>
  <c r="N45" i="23"/>
  <c r="M45" i="23"/>
  <c r="L45" i="23"/>
  <c r="N42" i="23"/>
  <c r="M42" i="23"/>
  <c r="L42" i="23"/>
  <c r="N39" i="23"/>
  <c r="M39" i="23"/>
  <c r="N36" i="23"/>
  <c r="M36" i="23"/>
  <c r="N33" i="23"/>
  <c r="M33" i="23"/>
  <c r="L33" i="23"/>
  <c r="N30" i="23"/>
  <c r="M30" i="23"/>
  <c r="N27" i="23"/>
  <c r="M27" i="23"/>
  <c r="N24" i="23"/>
  <c r="M24" i="23"/>
  <c r="N21" i="23"/>
  <c r="M21" i="23"/>
  <c r="N18" i="23"/>
  <c r="M18" i="23"/>
  <c r="N15" i="23"/>
  <c r="M15" i="23"/>
  <c r="N12" i="23"/>
  <c r="M12" i="23"/>
  <c r="N13" i="21"/>
  <c r="N12" i="21"/>
  <c r="N11" i="21"/>
  <c r="N10" i="21"/>
  <c r="N9" i="21"/>
  <c r="N8" i="21"/>
  <c r="N7" i="21"/>
  <c r="F13" i="21"/>
  <c r="F12" i="21"/>
  <c r="F11" i="21"/>
  <c r="F10" i="21"/>
  <c r="F9" i="21"/>
  <c r="F8" i="21"/>
  <c r="F7" i="21"/>
  <c r="A3" i="21"/>
  <c r="A2" i="21"/>
  <c r="B2" i="20"/>
  <c r="E27" i="12"/>
  <c r="E26" i="12"/>
  <c r="E25" i="12"/>
  <c r="E24" i="12"/>
  <c r="F23" i="12"/>
  <c r="F22" i="12"/>
  <c r="H21" i="12"/>
  <c r="E21" i="12"/>
  <c r="F20" i="12"/>
  <c r="F19" i="12"/>
  <c r="F18" i="12"/>
  <c r="F17" i="12"/>
  <c r="F16" i="12"/>
  <c r="H27" i="13"/>
  <c r="G27" i="13"/>
  <c r="F27" i="13"/>
  <c r="E27" i="13"/>
  <c r="H26" i="13"/>
  <c r="G26" i="13"/>
  <c r="F26" i="13"/>
  <c r="E26" i="13"/>
  <c r="H25" i="13"/>
  <c r="G25" i="13"/>
  <c r="F25" i="13"/>
  <c r="E25" i="13"/>
  <c r="H24" i="13"/>
  <c r="G24" i="13"/>
  <c r="F24" i="13"/>
  <c r="E24" i="13"/>
  <c r="H23" i="13"/>
  <c r="G23" i="13"/>
  <c r="F23" i="13"/>
  <c r="H22" i="13"/>
  <c r="G22" i="13"/>
  <c r="F22" i="13"/>
  <c r="H21" i="13"/>
  <c r="G21" i="13"/>
  <c r="F21" i="13"/>
  <c r="E21" i="13"/>
  <c r="H20" i="13"/>
  <c r="G20" i="13"/>
  <c r="F20" i="13"/>
  <c r="H19" i="13"/>
  <c r="G19" i="13"/>
  <c r="F19" i="13"/>
  <c r="H18" i="13"/>
  <c r="G18" i="13"/>
  <c r="F18" i="13"/>
  <c r="H17" i="13"/>
  <c r="G17" i="13"/>
  <c r="F17" i="13"/>
  <c r="H16" i="13"/>
  <c r="G16" i="13"/>
  <c r="F16" i="13"/>
  <c r="H15" i="13"/>
  <c r="G15" i="13"/>
  <c r="F15" i="13"/>
  <c r="H14" i="13"/>
  <c r="G14" i="13"/>
  <c r="F14" i="13"/>
  <c r="H38" i="14"/>
  <c r="G27" i="14"/>
  <c r="F27" i="14"/>
  <c r="E27" i="14"/>
  <c r="G26" i="14"/>
  <c r="F26" i="14"/>
  <c r="E26" i="14"/>
  <c r="G25" i="14"/>
  <c r="F25" i="14"/>
  <c r="E25" i="14"/>
  <c r="G24" i="14"/>
  <c r="F24" i="14"/>
  <c r="E24" i="14"/>
  <c r="G23" i="14"/>
  <c r="F23" i="14"/>
  <c r="G22" i="14"/>
  <c r="F22" i="14"/>
  <c r="G21" i="14"/>
  <c r="F21" i="14"/>
  <c r="E21" i="14"/>
  <c r="G20" i="14"/>
  <c r="F20" i="14"/>
  <c r="G19" i="14"/>
  <c r="F19" i="14"/>
  <c r="G18" i="14"/>
  <c r="F18" i="14"/>
  <c r="G17" i="14"/>
  <c r="F17" i="14"/>
  <c r="G16" i="14"/>
  <c r="F16" i="14"/>
  <c r="G15" i="14"/>
  <c r="F15" i="14"/>
  <c r="G14" i="14"/>
  <c r="F14" i="14"/>
  <c r="H38" i="11"/>
  <c r="G19" i="22"/>
  <c r="G15" i="22"/>
  <c r="G27" i="22"/>
  <c r="G24" i="22"/>
  <c r="G18" i="22"/>
  <c r="G16" i="22"/>
  <c r="G21" i="22"/>
  <c r="G20" i="22"/>
  <c r="G22" i="22"/>
  <c r="G17" i="22"/>
  <c r="G14" i="22"/>
  <c r="G23" i="22"/>
  <c r="G25" i="22"/>
  <c r="G26" i="22"/>
  <c r="I23" i="22" l="1"/>
  <c r="E23" i="11" s="1"/>
  <c r="I22" i="22"/>
  <c r="E22" i="11" s="1"/>
  <c r="I20" i="22"/>
  <c r="E20" i="11" s="1"/>
  <c r="I19" i="22"/>
  <c r="E19" i="11" s="1"/>
  <c r="I18" i="22"/>
  <c r="E18" i="11" s="1"/>
  <c r="I17" i="22"/>
  <c r="E17" i="11" s="1"/>
  <c r="I16" i="22"/>
  <c r="E16" i="11" s="1"/>
  <c r="I15" i="22"/>
  <c r="E15" i="11" s="1"/>
  <c r="I14" i="22"/>
  <c r="E14" i="11" s="1"/>
  <c r="J19" i="15"/>
  <c r="J11" i="15"/>
  <c r="J18" i="15"/>
  <c r="J10" i="15"/>
  <c r="J17" i="15"/>
  <c r="J9" i="15"/>
  <c r="J16" i="15"/>
  <c r="J8" i="15"/>
  <c r="J15" i="15"/>
  <c r="J14" i="15"/>
  <c r="J13" i="15"/>
  <c r="J20" i="15"/>
  <c r="J12" i="15"/>
  <c r="B14" i="22"/>
  <c r="D9" i="30"/>
  <c r="D8" i="30"/>
  <c r="D15" i="30"/>
  <c r="D7" i="30"/>
  <c r="D14" i="30"/>
  <c r="D6" i="30"/>
  <c r="D12" i="30"/>
  <c r="D4" i="30"/>
  <c r="D11" i="30"/>
  <c r="D3" i="30"/>
  <c r="D10" i="30"/>
  <c r="D13" i="30"/>
  <c r="D5" i="30"/>
  <c r="H17" i="22"/>
  <c r="H21" i="22"/>
  <c r="H25" i="22"/>
  <c r="H22" i="22"/>
  <c r="H18" i="22"/>
  <c r="H26" i="22"/>
  <c r="H19" i="22"/>
  <c r="H27" i="22"/>
  <c r="H20" i="22"/>
  <c r="H23" i="22"/>
  <c r="H16" i="22"/>
  <c r="H24" i="22"/>
  <c r="H15" i="22"/>
  <c r="H14" i="22"/>
  <c r="G27" i="11"/>
  <c r="F27" i="11"/>
  <c r="G26" i="11"/>
  <c r="F26" i="11"/>
  <c r="G25" i="11"/>
  <c r="F25" i="11"/>
  <c r="G24" i="11"/>
  <c r="F24" i="11"/>
  <c r="G23" i="11"/>
  <c r="F23" i="11"/>
  <c r="G22" i="11"/>
  <c r="F22" i="11"/>
  <c r="G21" i="11"/>
  <c r="F21" i="11"/>
  <c r="G20" i="11"/>
  <c r="F20" i="11"/>
  <c r="G19" i="11"/>
  <c r="F19" i="11"/>
  <c r="G18" i="11"/>
  <c r="F18" i="11"/>
  <c r="G17" i="11"/>
  <c r="F17" i="11"/>
  <c r="G16" i="11"/>
  <c r="F16" i="11"/>
  <c r="G15" i="11"/>
  <c r="F15" i="11"/>
  <c r="G14" i="11"/>
  <c r="F14" i="11"/>
  <c r="J4" i="26"/>
  <c r="H6" i="12" s="1"/>
  <c r="J3" i="26"/>
  <c r="H5" i="12" s="1"/>
  <c r="D39" i="12" s="1"/>
  <c r="J4" i="25"/>
  <c r="H6" i="13" s="1"/>
  <c r="J3" i="25"/>
  <c r="H5" i="13" s="1"/>
  <c r="D39" i="13" s="1"/>
  <c r="J4" i="24"/>
  <c r="H6" i="14" s="1"/>
  <c r="J3" i="24"/>
  <c r="H5" i="14" s="1"/>
  <c r="J4" i="23"/>
  <c r="H6" i="11" s="1"/>
  <c r="J3" i="23"/>
  <c r="H5" i="11" s="1"/>
  <c r="D38" i="11" s="1"/>
  <c r="C7" i="22"/>
  <c r="C10" i="22"/>
  <c r="C5" i="23" s="1"/>
  <c r="C7" i="11" s="1"/>
  <c r="C9" i="22"/>
  <c r="C4" i="25" s="1"/>
  <c r="C6" i="13" s="1"/>
  <c r="C8" i="22"/>
  <c r="C3" i="26" s="1"/>
  <c r="C5" i="12" s="1"/>
  <c r="A39" i="12" s="1"/>
  <c r="A2" i="12"/>
  <c r="A2" i="13"/>
  <c r="A2" i="14"/>
  <c r="A2" i="11"/>
  <c r="B2" i="9"/>
  <c r="A2" i="10"/>
  <c r="F11" i="30" l="1"/>
  <c r="E23" i="14"/>
  <c r="L39" i="24"/>
  <c r="L39" i="23"/>
  <c r="L45" i="26"/>
  <c r="L43" i="25"/>
  <c r="E23" i="13"/>
  <c r="E23" i="12"/>
  <c r="F10" i="30"/>
  <c r="L39" i="25"/>
  <c r="L36" i="23"/>
  <c r="E22" i="12"/>
  <c r="L36" i="24"/>
  <c r="E22" i="14"/>
  <c r="L41" i="26"/>
  <c r="E22" i="13"/>
  <c r="F8" i="30"/>
  <c r="L33" i="25"/>
  <c r="L30" i="23"/>
  <c r="E20" i="12"/>
  <c r="E20" i="14"/>
  <c r="L30" i="24"/>
  <c r="L34" i="26"/>
  <c r="E20" i="13"/>
  <c r="F7" i="30"/>
  <c r="L30" i="26"/>
  <c r="E19" i="14"/>
  <c r="E19" i="13"/>
  <c r="E19" i="12"/>
  <c r="L27" i="24"/>
  <c r="L27" i="23"/>
  <c r="L29" i="25"/>
  <c r="F6" i="30"/>
  <c r="L26" i="26"/>
  <c r="L24" i="24"/>
  <c r="E18" i="13"/>
  <c r="L26" i="25"/>
  <c r="E18" i="14"/>
  <c r="L24" i="23"/>
  <c r="E18" i="12"/>
  <c r="F5" i="30"/>
  <c r="L21" i="23"/>
  <c r="E17" i="12"/>
  <c r="E17" i="14"/>
  <c r="L22" i="25"/>
  <c r="L21" i="24"/>
  <c r="L22" i="26"/>
  <c r="E17" i="13"/>
  <c r="F4" i="30"/>
  <c r="L19" i="25"/>
  <c r="L18" i="23"/>
  <c r="E16" i="13"/>
  <c r="L18" i="26"/>
  <c r="E16" i="14"/>
  <c r="L18" i="24"/>
  <c r="E16" i="12"/>
  <c r="F3" i="30"/>
  <c r="E15" i="14"/>
  <c r="L15" i="24"/>
  <c r="L15" i="23"/>
  <c r="E15" i="12"/>
  <c r="L15" i="26"/>
  <c r="E15" i="13"/>
  <c r="M14" i="22"/>
  <c r="O14" i="22" s="1"/>
  <c r="F2" i="30"/>
  <c r="E14" i="13"/>
  <c r="L12" i="26"/>
  <c r="L12" i="23"/>
  <c r="E14" i="14"/>
  <c r="E14" i="12"/>
  <c r="L12" i="24"/>
  <c r="B63" i="10"/>
  <c r="A16" i="32"/>
  <c r="B22" i="27"/>
  <c r="B28" i="9"/>
  <c r="A23" i="15"/>
  <c r="C2" i="23"/>
  <c r="A86" i="23" s="1"/>
  <c r="C2" i="25"/>
  <c r="A91" i="25" s="1"/>
  <c r="C2" i="24"/>
  <c r="C4" i="14" s="1"/>
  <c r="A37" i="14" s="1"/>
  <c r="C2" i="26"/>
  <c r="A93" i="26" s="1"/>
  <c r="I40" i="13"/>
  <c r="D40" i="13"/>
  <c r="A40" i="13"/>
  <c r="A39" i="14"/>
  <c r="H39" i="14"/>
  <c r="D39" i="14"/>
  <c r="H39" i="11"/>
  <c r="D39" i="11"/>
  <c r="A39" i="11"/>
  <c r="I40" i="12"/>
  <c r="A40" i="12"/>
  <c r="D40" i="12"/>
  <c r="K63" i="10"/>
  <c r="C16" i="32"/>
  <c r="D28" i="9"/>
  <c r="E23" i="15"/>
  <c r="J2" i="23"/>
  <c r="F86" i="23" s="1"/>
  <c r="J2" i="24"/>
  <c r="H4" i="14" s="1"/>
  <c r="D37" i="14" s="1"/>
  <c r="J2" i="26"/>
  <c r="F93" i="26" s="1"/>
  <c r="J2" i="25"/>
  <c r="F91" i="25" s="1"/>
  <c r="D2" i="30"/>
  <c r="J7" i="15"/>
  <c r="C4" i="26"/>
  <c r="C6" i="12" s="1"/>
  <c r="C4" i="24"/>
  <c r="C6" i="14" s="1"/>
  <c r="C4" i="23"/>
  <c r="C6" i="11" s="1"/>
  <c r="C5" i="25"/>
  <c r="C7" i="13" s="1"/>
  <c r="C5" i="24"/>
  <c r="C7" i="14" s="1"/>
  <c r="C5" i="26"/>
  <c r="C7" i="12" s="1"/>
  <c r="C3" i="25"/>
  <c r="C5" i="13" s="1"/>
  <c r="A39" i="13" s="1"/>
  <c r="C3" i="24"/>
  <c r="C5" i="14" s="1"/>
  <c r="A38" i="14" s="1"/>
  <c r="C3" i="23"/>
  <c r="C5" i="11" s="1"/>
  <c r="A38" i="11" s="1"/>
  <c r="K16" i="25"/>
  <c r="M15" i="25"/>
  <c r="L15" i="25"/>
  <c r="K15" i="25" s="1" a="1"/>
  <c r="K15" i="25" s="1"/>
  <c r="O12" i="25"/>
  <c r="N12" i="25"/>
  <c r="M12" i="25"/>
  <c r="L12" i="25"/>
  <c r="M27" i="22"/>
  <c r="M26" i="22"/>
  <c r="M25" i="22"/>
  <c r="M24" i="22"/>
  <c r="J12" i="30" s="1"/>
  <c r="M23" i="22"/>
  <c r="J11" i="30" s="1"/>
  <c r="M22" i="22"/>
  <c r="J10" i="30" s="1"/>
  <c r="M21" i="22"/>
  <c r="M20" i="22"/>
  <c r="M19" i="22"/>
  <c r="M18" i="22"/>
  <c r="M17" i="22"/>
  <c r="M16" i="22"/>
  <c r="J4" i="30" s="1"/>
  <c r="M15" i="22"/>
  <c r="J3" i="30" s="1"/>
  <c r="A86" i="24" l="1"/>
  <c r="J14" i="30"/>
  <c r="O26" i="22"/>
  <c r="J15" i="30"/>
  <c r="O27" i="22"/>
  <c r="C4" i="11"/>
  <c r="A37" i="11" s="1"/>
  <c r="C4" i="12"/>
  <c r="A38" i="12" s="1"/>
  <c r="C4" i="13"/>
  <c r="A38" i="13" s="1"/>
  <c r="H4" i="13"/>
  <c r="D38" i="13" s="1"/>
  <c r="H4" i="12"/>
  <c r="D38" i="12" s="1"/>
  <c r="F86" i="24"/>
  <c r="H4" i="11"/>
  <c r="D37" i="11" s="1"/>
  <c r="P12" i="25"/>
  <c r="J2" i="30"/>
  <c r="N18" i="22"/>
  <c r="J6" i="30"/>
  <c r="N19" i="22"/>
  <c r="J7" i="30"/>
  <c r="O20" i="22"/>
  <c r="L8" i="30" s="1"/>
  <c r="J8" i="30"/>
  <c r="N21" i="22"/>
  <c r="J9" i="30"/>
  <c r="N17" i="22"/>
  <c r="J5" i="30"/>
  <c r="N25" i="22"/>
  <c r="J13" i="30"/>
  <c r="N26" i="22"/>
  <c r="N27" i="22"/>
  <c r="K20" i="15" s="1"/>
  <c r="O21" i="22"/>
  <c r="N20" i="22"/>
  <c r="I22" i="12"/>
  <c r="I22" i="13"/>
  <c r="O36" i="24"/>
  <c r="O36" i="23"/>
  <c r="P39" i="25"/>
  <c r="H22" i="14"/>
  <c r="P41" i="26"/>
  <c r="H22" i="11"/>
  <c r="P15" i="26"/>
  <c r="O15" i="23"/>
  <c r="I15" i="12"/>
  <c r="I15" i="13"/>
  <c r="O15" i="24"/>
  <c r="P15" i="25"/>
  <c r="H15" i="14"/>
  <c r="H15" i="11"/>
  <c r="P45" i="26"/>
  <c r="I23" i="12"/>
  <c r="I23" i="13"/>
  <c r="O39" i="24"/>
  <c r="O39" i="23"/>
  <c r="P43" i="25"/>
  <c r="H23" i="14"/>
  <c r="H23" i="11"/>
  <c r="I16" i="13"/>
  <c r="O18" i="23"/>
  <c r="H16" i="14"/>
  <c r="P18" i="26"/>
  <c r="I16" i="12"/>
  <c r="P19" i="25"/>
  <c r="O18" i="24"/>
  <c r="H16" i="11"/>
  <c r="I24" i="12"/>
  <c r="I24" i="13"/>
  <c r="H24" i="14"/>
  <c r="P49" i="26"/>
  <c r="O42" i="24"/>
  <c r="P47" i="25"/>
  <c r="O42" i="23"/>
  <c r="H24" i="11"/>
  <c r="O22" i="22"/>
  <c r="P22" i="25"/>
  <c r="O21" i="24"/>
  <c r="P22" i="26"/>
  <c r="I17" i="12"/>
  <c r="O21" i="23"/>
  <c r="I17" i="13"/>
  <c r="H17" i="14"/>
  <c r="H17" i="11"/>
  <c r="P50" i="25"/>
  <c r="O45" i="24"/>
  <c r="O45" i="23"/>
  <c r="H25" i="14"/>
  <c r="I25" i="13"/>
  <c r="P52" i="26"/>
  <c r="I25" i="12"/>
  <c r="H25" i="11"/>
  <c r="O15" i="22"/>
  <c r="O23" i="22"/>
  <c r="I18" i="12"/>
  <c r="I18" i="13"/>
  <c r="H18" i="14"/>
  <c r="P26" i="26"/>
  <c r="P26" i="25"/>
  <c r="O24" i="23"/>
  <c r="O24" i="24"/>
  <c r="H18" i="11"/>
  <c r="I26" i="12"/>
  <c r="I26" i="13"/>
  <c r="H26" i="14"/>
  <c r="P55" i="26"/>
  <c r="O48" i="24"/>
  <c r="P53" i="25"/>
  <c r="O48" i="23"/>
  <c r="H26" i="11"/>
  <c r="O16" i="22"/>
  <c r="O24" i="22"/>
  <c r="O27" i="24"/>
  <c r="P29" i="25"/>
  <c r="I19" i="12"/>
  <c r="I19" i="13"/>
  <c r="H19" i="14"/>
  <c r="P30" i="26"/>
  <c r="O27" i="23"/>
  <c r="H19" i="11"/>
  <c r="O51" i="24"/>
  <c r="O51" i="23"/>
  <c r="I27" i="12"/>
  <c r="P58" i="26"/>
  <c r="I27" i="13"/>
  <c r="H27" i="14"/>
  <c r="P56" i="25"/>
  <c r="H27" i="11"/>
  <c r="N22" i="22"/>
  <c r="O17" i="22"/>
  <c r="O25" i="22"/>
  <c r="P34" i="26"/>
  <c r="O30" i="23"/>
  <c r="I20" i="12"/>
  <c r="I20" i="13"/>
  <c r="O30" i="24"/>
  <c r="P33" i="25"/>
  <c r="H20" i="14"/>
  <c r="H20" i="11"/>
  <c r="N15" i="22"/>
  <c r="N23" i="22"/>
  <c r="O18" i="22"/>
  <c r="P36" i="25"/>
  <c r="H21" i="14"/>
  <c r="P38" i="26"/>
  <c r="O33" i="23"/>
  <c r="O33" i="24"/>
  <c r="I21" i="13"/>
  <c r="I21" i="12"/>
  <c r="H21" i="11"/>
  <c r="N16" i="22"/>
  <c r="N24" i="22"/>
  <c r="O19" i="22"/>
  <c r="P12" i="26"/>
  <c r="O12" i="24"/>
  <c r="I14" i="12"/>
  <c r="H14" i="14"/>
  <c r="O12" i="23"/>
  <c r="I14" i="13"/>
  <c r="H14" i="11"/>
  <c r="N14" i="22"/>
  <c r="K7" i="15" s="1"/>
  <c r="C15" i="30"/>
  <c r="C14" i="30"/>
  <c r="C13" i="30"/>
  <c r="C12" i="30"/>
  <c r="C11" i="30"/>
  <c r="C10" i="30"/>
  <c r="C9" i="30"/>
  <c r="C8" i="30"/>
  <c r="C7" i="30"/>
  <c r="C6" i="30"/>
  <c r="C5" i="30"/>
  <c r="C4" i="30"/>
  <c r="C3" i="30"/>
  <c r="C2" i="30"/>
  <c r="H28" i="12" l="1"/>
  <c r="H28" i="13"/>
  <c r="G28" i="14"/>
  <c r="G28" i="11"/>
  <c r="K10" i="30"/>
  <c r="K15" i="15"/>
  <c r="K14" i="30"/>
  <c r="K19" i="15"/>
  <c r="K4" i="30"/>
  <c r="K9" i="15"/>
  <c r="K12" i="30"/>
  <c r="K17" i="15"/>
  <c r="K13" i="30"/>
  <c r="K18" i="15"/>
  <c r="K7" i="30"/>
  <c r="K12" i="15"/>
  <c r="K11" i="30"/>
  <c r="K16" i="15"/>
  <c r="K5" i="30"/>
  <c r="K10" i="15"/>
  <c r="K6" i="30"/>
  <c r="K11" i="15"/>
  <c r="K3" i="30"/>
  <c r="K8" i="15"/>
  <c r="J20" i="13"/>
  <c r="K13" i="15"/>
  <c r="K9" i="30"/>
  <c r="K14" i="15"/>
  <c r="Q38" i="26"/>
  <c r="I21" i="14"/>
  <c r="I19" i="11"/>
  <c r="K2" i="30"/>
  <c r="P27" i="23"/>
  <c r="P33" i="23"/>
  <c r="Q29" i="25"/>
  <c r="J19" i="12"/>
  <c r="Q50" i="25"/>
  <c r="J25" i="13"/>
  <c r="P27" i="24"/>
  <c r="I25" i="14"/>
  <c r="Q30" i="26"/>
  <c r="I19" i="14"/>
  <c r="J19" i="13"/>
  <c r="P45" i="23"/>
  <c r="Q36" i="25"/>
  <c r="I21" i="11"/>
  <c r="J21" i="13"/>
  <c r="P33" i="24"/>
  <c r="J20" i="11"/>
  <c r="K20" i="12"/>
  <c r="K20" i="13"/>
  <c r="J20" i="14"/>
  <c r="J21" i="12"/>
  <c r="J26" i="13"/>
  <c r="P48" i="24"/>
  <c r="Q55" i="26"/>
  <c r="J18" i="13"/>
  <c r="P24" i="24"/>
  <c r="P24" i="23"/>
  <c r="Q22" i="26"/>
  <c r="Q26" i="25"/>
  <c r="I17" i="14"/>
  <c r="Q26" i="26"/>
  <c r="Q53" i="25"/>
  <c r="J18" i="12"/>
  <c r="J25" i="12"/>
  <c r="Q52" i="26"/>
  <c r="J17" i="12"/>
  <c r="I26" i="14"/>
  <c r="P45" i="24"/>
  <c r="J16" i="14"/>
  <c r="L4" i="30"/>
  <c r="J18" i="11"/>
  <c r="L6" i="30"/>
  <c r="J23" i="11"/>
  <c r="L11" i="30"/>
  <c r="J17" i="13"/>
  <c r="K26" i="12"/>
  <c r="L14" i="30"/>
  <c r="K15" i="13"/>
  <c r="L3" i="30"/>
  <c r="P48" i="23"/>
  <c r="P21" i="24"/>
  <c r="J25" i="11"/>
  <c r="L13" i="30"/>
  <c r="K22" i="12"/>
  <c r="L10" i="30"/>
  <c r="Q22" i="25"/>
  <c r="K17" i="13"/>
  <c r="L5" i="30"/>
  <c r="I26" i="11"/>
  <c r="I18" i="11"/>
  <c r="I25" i="11"/>
  <c r="I17" i="11"/>
  <c r="I20" i="11"/>
  <c r="K8" i="30"/>
  <c r="J14" i="11"/>
  <c r="L2" i="30"/>
  <c r="J19" i="11"/>
  <c r="L7" i="30"/>
  <c r="K21" i="13"/>
  <c r="L9" i="30"/>
  <c r="J24" i="11"/>
  <c r="L12" i="30"/>
  <c r="J27" i="11"/>
  <c r="L15" i="30"/>
  <c r="J26" i="12"/>
  <c r="I18" i="14"/>
  <c r="P21" i="23"/>
  <c r="Q58" i="26"/>
  <c r="K15" i="30"/>
  <c r="Q56" i="25"/>
  <c r="J27" i="13"/>
  <c r="J27" i="12"/>
  <c r="I27" i="11"/>
  <c r="P51" i="23"/>
  <c r="P51" i="24"/>
  <c r="I27" i="14"/>
  <c r="Q33" i="25"/>
  <c r="J22" i="14"/>
  <c r="J22" i="11"/>
  <c r="K22" i="13"/>
  <c r="J21" i="11"/>
  <c r="J21" i="14"/>
  <c r="K21" i="12"/>
  <c r="J19" i="14"/>
  <c r="J15" i="14"/>
  <c r="K23" i="13"/>
  <c r="J15" i="11"/>
  <c r="J16" i="11"/>
  <c r="K16" i="13"/>
  <c r="I20" i="14"/>
  <c r="J23" i="14"/>
  <c r="K15" i="12"/>
  <c r="Q34" i="26"/>
  <c r="J20" i="12"/>
  <c r="K24" i="12"/>
  <c r="P30" i="23"/>
  <c r="K24" i="13"/>
  <c r="P30" i="24"/>
  <c r="J25" i="14"/>
  <c r="J24" i="14"/>
  <c r="J26" i="14"/>
  <c r="K18" i="12"/>
  <c r="J18" i="14"/>
  <c r="K23" i="12"/>
  <c r="J26" i="11"/>
  <c r="K19" i="13"/>
  <c r="K18" i="13"/>
  <c r="K25" i="12"/>
  <c r="J27" i="14"/>
  <c r="K27" i="13"/>
  <c r="J17" i="14"/>
  <c r="K26" i="13"/>
  <c r="K27" i="12"/>
  <c r="K25" i="13"/>
  <c r="K19" i="12"/>
  <c r="J24" i="12"/>
  <c r="I24" i="14"/>
  <c r="Q49" i="26"/>
  <c r="J24" i="13"/>
  <c r="P42" i="23"/>
  <c r="P42" i="24"/>
  <c r="Q47" i="25"/>
  <c r="I24" i="11"/>
  <c r="P36" i="24"/>
  <c r="P36" i="23"/>
  <c r="Q39" i="25"/>
  <c r="I22" i="14"/>
  <c r="Q41" i="26"/>
  <c r="J22" i="13"/>
  <c r="J22" i="12"/>
  <c r="I22" i="11"/>
  <c r="J17" i="11"/>
  <c r="I16" i="14"/>
  <c r="Q18" i="26"/>
  <c r="J16" i="12"/>
  <c r="J16" i="13"/>
  <c r="P18" i="23"/>
  <c r="Q19" i="25"/>
  <c r="P18" i="24"/>
  <c r="I16" i="11"/>
  <c r="K17" i="12"/>
  <c r="K16" i="12"/>
  <c r="Q45" i="26"/>
  <c r="J23" i="12"/>
  <c r="J23" i="13"/>
  <c r="P39" i="24"/>
  <c r="P39" i="23"/>
  <c r="Q43" i="25"/>
  <c r="I23" i="14"/>
  <c r="I23" i="11"/>
  <c r="Q15" i="26"/>
  <c r="J15" i="12"/>
  <c r="J15" i="13"/>
  <c r="Q15" i="25"/>
  <c r="P15" i="24"/>
  <c r="P15" i="23"/>
  <c r="I15" i="14"/>
  <c r="I15" i="11"/>
  <c r="K14" i="13"/>
  <c r="J14" i="14"/>
  <c r="K14" i="12"/>
  <c r="I14" i="14"/>
  <c r="J14" i="12"/>
  <c r="J14" i="13"/>
  <c r="Q12" i="26"/>
  <c r="P12" i="23"/>
  <c r="P12" i="24"/>
  <c r="I14" i="11"/>
  <c r="N28" i="22"/>
  <c r="Q12" i="25"/>
  <c r="J28" i="12" l="1"/>
  <c r="I28" i="14"/>
  <c r="I28" i="11"/>
  <c r="A7" i="15" a="1"/>
  <c r="C7" i="15" a="1"/>
  <c r="N29" i="22"/>
  <c r="AA2" i="29" s="1"/>
  <c r="Z2" i="29"/>
  <c r="Q79" i="25"/>
  <c r="P74" i="23"/>
  <c r="Q81" i="26"/>
  <c r="P74" i="24"/>
  <c r="J28" i="13"/>
  <c r="J4" i="10"/>
  <c r="D9" i="15"/>
  <c r="B9" i="15"/>
  <c r="A7" i="15" l="1"/>
  <c r="C7" i="15"/>
  <c r="AR2" i="29"/>
  <c r="AQ2" i="29"/>
  <c r="AT2" i="29"/>
  <c r="AU2" i="29"/>
  <c r="A1" i="22"/>
  <c r="A1" i="12"/>
  <c r="A1" i="13"/>
  <c r="B1" i="9"/>
  <c r="A1" i="11"/>
  <c r="A1" i="14"/>
  <c r="B1" i="20"/>
  <c r="A1" i="10"/>
  <c r="B7" i="15"/>
  <c r="B8" i="15"/>
  <c r="D8" i="15"/>
  <c r="D7" i="15"/>
  <c r="AS2" i="29" l="1"/>
  <c r="AP2" i="29"/>
  <c r="K80" i="26" a="1"/>
  <c r="K80" i="26" s="1"/>
  <c r="K79" i="26" a="1"/>
  <c r="K79" i="26" s="1"/>
  <c r="P78" i="26"/>
  <c r="Q78" i="26" s="1"/>
  <c r="K78" i="26" a="1"/>
  <c r="K78" i="26" s="1"/>
  <c r="K77" i="26" a="1"/>
  <c r="K77" i="26" s="1"/>
  <c r="K76" i="26" a="1"/>
  <c r="K76" i="26" s="1"/>
  <c r="P75" i="26"/>
  <c r="Q75" i="26" s="1"/>
  <c r="K75" i="26" a="1"/>
  <c r="K75" i="26" s="1"/>
  <c r="K74" i="26" a="1"/>
  <c r="K74" i="26" s="1"/>
  <c r="K73" i="26" a="1"/>
  <c r="K73" i="26" s="1"/>
  <c r="P72" i="26"/>
  <c r="Q72" i="26" s="1"/>
  <c r="K72" i="26" a="1"/>
  <c r="K72" i="26" s="1"/>
  <c r="K71" i="26" a="1"/>
  <c r="K71" i="26" s="1"/>
  <c r="K70" i="26" a="1"/>
  <c r="K70" i="26" s="1"/>
  <c r="P69" i="26"/>
  <c r="Q69" i="26" s="1"/>
  <c r="K69" i="26" a="1"/>
  <c r="K69" i="26" s="1"/>
  <c r="K68" i="26" a="1"/>
  <c r="K68" i="26" s="1"/>
  <c r="K67" i="26" a="1"/>
  <c r="K67" i="26" s="1"/>
  <c r="P66" i="26"/>
  <c r="Q66" i="26" s="1"/>
  <c r="K66" i="26" a="1"/>
  <c r="K66" i="26" s="1"/>
  <c r="K65" i="26" a="1"/>
  <c r="K65" i="26" s="1"/>
  <c r="K64" i="26" a="1"/>
  <c r="K64" i="26" s="1"/>
  <c r="P63" i="26"/>
  <c r="Q63" i="26" s="1"/>
  <c r="K63" i="26" a="1"/>
  <c r="K63" i="26" s="1"/>
  <c r="K62" i="26" a="1"/>
  <c r="K62" i="26" s="1"/>
  <c r="K61" i="26" a="1"/>
  <c r="K61" i="26" s="1"/>
  <c r="K58" i="26" a="1"/>
  <c r="K58" i="26" s="1"/>
  <c r="K57" i="26" a="1"/>
  <c r="K57" i="26" s="1"/>
  <c r="K56" i="26" a="1"/>
  <c r="K56" i="26" s="1"/>
  <c r="K55" i="26" a="1"/>
  <c r="K55" i="26" s="1"/>
  <c r="K52" i="26" a="1"/>
  <c r="K52" i="26" s="1"/>
  <c r="K51" i="26" a="1"/>
  <c r="K51" i="26" s="1"/>
  <c r="K50" i="26" a="1"/>
  <c r="K50" i="26" s="1"/>
  <c r="K49" i="26" a="1"/>
  <c r="K49" i="26" s="1"/>
  <c r="K48" i="26" a="1"/>
  <c r="K48" i="26" s="1"/>
  <c r="K47" i="26" a="1"/>
  <c r="K47" i="26" s="1"/>
  <c r="K45" i="26" a="1"/>
  <c r="K45" i="26" s="1"/>
  <c r="K44" i="26" a="1"/>
  <c r="K44" i="26" s="1"/>
  <c r="K43" i="26" a="1"/>
  <c r="K43" i="26" s="1"/>
  <c r="K41" i="26" a="1"/>
  <c r="K41" i="26" s="1"/>
  <c r="K40" i="26" a="1"/>
  <c r="K40" i="26" s="1"/>
  <c r="K39" i="26" a="1"/>
  <c r="K39" i="26" s="1"/>
  <c r="K38" i="26" a="1"/>
  <c r="K38" i="26" s="1"/>
  <c r="K37" i="26" a="1"/>
  <c r="K37" i="26" s="1"/>
  <c r="K36" i="26" a="1"/>
  <c r="K36" i="26" s="1"/>
  <c r="K34" i="26" a="1"/>
  <c r="K34" i="26" s="1"/>
  <c r="K33" i="26" a="1"/>
  <c r="K33" i="26" s="1"/>
  <c r="K32" i="26" a="1"/>
  <c r="K32" i="26" s="1"/>
  <c r="K30" i="26" a="1"/>
  <c r="K30" i="26" s="1"/>
  <c r="K29" i="26" a="1"/>
  <c r="K29" i="26" s="1"/>
  <c r="K28" i="26" a="1"/>
  <c r="K28" i="26" s="1"/>
  <c r="K26" i="26" a="1"/>
  <c r="K26" i="26" s="1"/>
  <c r="K25" i="26" a="1"/>
  <c r="K25" i="26" s="1"/>
  <c r="K24" i="26" a="1"/>
  <c r="K24" i="26" s="1"/>
  <c r="K22" i="26" a="1"/>
  <c r="K22" i="26" s="1"/>
  <c r="K21" i="26" a="1"/>
  <c r="K21" i="26" s="1"/>
  <c r="K20" i="26" a="1"/>
  <c r="K20" i="26" s="1"/>
  <c r="K18" i="26" a="1"/>
  <c r="K18" i="26" s="1"/>
  <c r="K17" i="26" a="1"/>
  <c r="K17" i="26" s="1"/>
  <c r="K16" i="26" a="1"/>
  <c r="K16" i="26" s="1"/>
  <c r="K15" i="26" a="1"/>
  <c r="K15" i="26" s="1"/>
  <c r="K14" i="26" a="1"/>
  <c r="K14" i="26" s="1"/>
  <c r="K13" i="26" a="1"/>
  <c r="K13" i="26" s="1"/>
  <c r="K12" i="26" a="1"/>
  <c r="K12" i="26" s="1"/>
  <c r="K78" i="25" a="1"/>
  <c r="K78" i="25" s="1"/>
  <c r="K77" i="25" a="1"/>
  <c r="K77" i="25" s="1"/>
  <c r="P76" i="25"/>
  <c r="Q76" i="25" s="1"/>
  <c r="K76" i="25" a="1"/>
  <c r="K76" i="25" s="1"/>
  <c r="K75" i="25" a="1"/>
  <c r="K75" i="25" s="1"/>
  <c r="K74" i="25" a="1"/>
  <c r="K74" i="25" s="1"/>
  <c r="P73" i="25"/>
  <c r="Q73" i="25" s="1"/>
  <c r="K73" i="25" a="1"/>
  <c r="K73" i="25" s="1"/>
  <c r="K72" i="25" a="1"/>
  <c r="K72" i="25" s="1"/>
  <c r="K71" i="25" a="1"/>
  <c r="K71" i="25" s="1"/>
  <c r="P70" i="25"/>
  <c r="Q70" i="25" s="1"/>
  <c r="K70" i="25" a="1"/>
  <c r="K70" i="25" s="1"/>
  <c r="K69" i="25" a="1"/>
  <c r="K69" i="25" s="1"/>
  <c r="K68" i="25" a="1"/>
  <c r="K68" i="25" s="1"/>
  <c r="P67" i="25"/>
  <c r="Q67" i="25" s="1"/>
  <c r="K67" i="25" a="1"/>
  <c r="K67" i="25" s="1"/>
  <c r="K66" i="25" a="1"/>
  <c r="K66" i="25" s="1"/>
  <c r="K65" i="25" a="1"/>
  <c r="K65" i="25" s="1"/>
  <c r="P64" i="25"/>
  <c r="Q64" i="25" s="1"/>
  <c r="K64" i="25" a="1"/>
  <c r="K64" i="25" s="1"/>
  <c r="K63" i="25" a="1"/>
  <c r="K63" i="25" s="1"/>
  <c r="K62" i="25" a="1"/>
  <c r="K62" i="25" s="1"/>
  <c r="P61" i="25"/>
  <c r="Q61" i="25" s="1"/>
  <c r="K61" i="25" a="1"/>
  <c r="K61" i="25" s="1"/>
  <c r="K60" i="25" a="1"/>
  <c r="K60" i="25" s="1"/>
  <c r="K59" i="25" a="1"/>
  <c r="K59" i="25" s="1"/>
  <c r="K58" i="25" a="1"/>
  <c r="K58" i="25" s="1"/>
  <c r="K57" i="25" a="1"/>
  <c r="K57" i="25" s="1"/>
  <c r="K56" i="25" a="1"/>
  <c r="K56" i="25" s="1"/>
  <c r="K55" i="25" a="1"/>
  <c r="K55" i="25" s="1"/>
  <c r="K54" i="25" a="1"/>
  <c r="K54" i="25" s="1"/>
  <c r="K53" i="25" a="1"/>
  <c r="K53" i="25" s="1"/>
  <c r="K52" i="25" a="1"/>
  <c r="K52" i="25" s="1"/>
  <c r="K51" i="25" a="1"/>
  <c r="K51" i="25" s="1"/>
  <c r="K50" i="25" a="1"/>
  <c r="K50" i="25" s="1"/>
  <c r="K49" i="25" a="1"/>
  <c r="K49" i="25" s="1"/>
  <c r="K48" i="25" a="1"/>
  <c r="K48" i="25" s="1"/>
  <c r="K47" i="25" a="1"/>
  <c r="K47" i="25" s="1"/>
  <c r="K46" i="25" a="1"/>
  <c r="K46" i="25" s="1"/>
  <c r="K45" i="25" a="1"/>
  <c r="K45" i="25" s="1"/>
  <c r="K43" i="25" a="1"/>
  <c r="K43" i="25" s="1"/>
  <c r="K42" i="25" a="1"/>
  <c r="K42" i="25" s="1"/>
  <c r="K41" i="25" a="1"/>
  <c r="K41" i="25" s="1"/>
  <c r="K39" i="25" a="1"/>
  <c r="K39" i="25" s="1"/>
  <c r="K38" i="25" a="1"/>
  <c r="K38" i="25" s="1"/>
  <c r="K37" i="25" a="1"/>
  <c r="K37" i="25" s="1"/>
  <c r="K36" i="25" a="1"/>
  <c r="K36" i="25" s="1"/>
  <c r="K35" i="25" a="1"/>
  <c r="K35" i="25" s="1"/>
  <c r="K34" i="25" a="1"/>
  <c r="K34" i="25" s="1"/>
  <c r="K33" i="25" a="1"/>
  <c r="K33" i="25" s="1"/>
  <c r="K32" i="25" a="1"/>
  <c r="K32" i="25" s="1"/>
  <c r="K31" i="25" a="1"/>
  <c r="K31" i="25" s="1"/>
  <c r="K29" i="25" a="1"/>
  <c r="K29" i="25" s="1"/>
  <c r="K28" i="25" a="1"/>
  <c r="K28" i="25" s="1"/>
  <c r="K27" i="25" a="1"/>
  <c r="K27" i="25" s="1"/>
  <c r="K26" i="25" a="1"/>
  <c r="K26" i="25" s="1"/>
  <c r="K25" i="25" a="1"/>
  <c r="K25" i="25" s="1"/>
  <c r="K24" i="25" a="1"/>
  <c r="K24" i="25" s="1"/>
  <c r="K22" i="25" a="1"/>
  <c r="K22" i="25" s="1"/>
  <c r="K21" i="25" a="1"/>
  <c r="K21" i="25" s="1"/>
  <c r="K20" i="25" a="1"/>
  <c r="K20" i="25" s="1"/>
  <c r="K19" i="25" a="1"/>
  <c r="K19" i="25" s="1"/>
  <c r="K18" i="25" a="1"/>
  <c r="K18" i="25" s="1"/>
  <c r="K17" i="25" a="1"/>
  <c r="K17" i="25" s="1"/>
  <c r="K14" i="25" a="1"/>
  <c r="K14" i="25" s="1"/>
  <c r="K13" i="25" a="1"/>
  <c r="K13" i="25" s="1"/>
  <c r="K12" i="25" a="1"/>
  <c r="K12" i="25" s="1"/>
  <c r="K39" i="24" l="1" a="1"/>
  <c r="K39" i="24" s="1"/>
  <c r="K36" i="24" a="1"/>
  <c r="K36" i="24" s="1"/>
  <c r="K30" i="24" a="1"/>
  <c r="K30" i="24" s="1"/>
  <c r="K27" i="24" a="1"/>
  <c r="K27" i="24" s="1"/>
  <c r="K24" i="24" a="1"/>
  <c r="K24" i="24" s="1"/>
  <c r="K21" i="24" a="1"/>
  <c r="K21" i="24" s="1"/>
  <c r="K18" i="24" a="1"/>
  <c r="K18" i="24" s="1"/>
  <c r="K15" i="24" a="1"/>
  <c r="K15" i="24" s="1"/>
  <c r="K73" i="24" a="1"/>
  <c r="K73" i="24" s="1"/>
  <c r="K72" i="24" a="1"/>
  <c r="K72" i="24" s="1"/>
  <c r="K71" i="24" a="1"/>
  <c r="K71" i="24" s="1"/>
  <c r="K70" i="24" a="1"/>
  <c r="K70" i="24" s="1"/>
  <c r="K69" i="24" a="1"/>
  <c r="K69" i="24" s="1"/>
  <c r="K68" i="24" a="1"/>
  <c r="K68" i="24" s="1"/>
  <c r="K67" i="24" a="1"/>
  <c r="K67" i="24" s="1"/>
  <c r="K66" i="24" a="1"/>
  <c r="K66" i="24" s="1"/>
  <c r="K65" i="24" a="1"/>
  <c r="K65" i="24" s="1"/>
  <c r="K64" i="24"/>
  <c r="K64" i="24" a="1"/>
  <c r="K63" i="24" a="1"/>
  <c r="K63" i="24" s="1"/>
  <c r="K62" i="24" a="1"/>
  <c r="K62" i="24" s="1"/>
  <c r="K61" i="24" a="1"/>
  <c r="K61" i="24" s="1"/>
  <c r="K60" i="24" a="1"/>
  <c r="K60" i="24" s="1"/>
  <c r="K59" i="24"/>
  <c r="K59" i="24" a="1"/>
  <c r="K58" i="24"/>
  <c r="K58" i="24" a="1"/>
  <c r="K57" i="24" a="1"/>
  <c r="K57" i="24" s="1"/>
  <c r="K56" i="24" a="1"/>
  <c r="K56" i="24" s="1"/>
  <c r="K55" i="24"/>
  <c r="K55" i="24" a="1"/>
  <c r="K54" i="24" a="1"/>
  <c r="K54" i="24" s="1"/>
  <c r="K53" i="24" a="1"/>
  <c r="K53" i="24" s="1"/>
  <c r="K52" i="24" a="1"/>
  <c r="K52" i="24" s="1"/>
  <c r="K51" i="24" a="1"/>
  <c r="K51" i="24" s="1"/>
  <c r="K50" i="24" a="1"/>
  <c r="K50" i="24" s="1"/>
  <c r="K49" i="24" a="1"/>
  <c r="K49" i="24" s="1"/>
  <c r="K48" i="24" a="1"/>
  <c r="K48" i="24" s="1"/>
  <c r="K47" i="24" a="1"/>
  <c r="K47" i="24" s="1"/>
  <c r="K46" i="24" a="1"/>
  <c r="K46" i="24" s="1"/>
  <c r="K45" i="24" a="1"/>
  <c r="K45" i="24" s="1"/>
  <c r="K44" i="24" a="1"/>
  <c r="K44" i="24" s="1"/>
  <c r="K43" i="24" a="1"/>
  <c r="K43" i="24" s="1"/>
  <c r="K42" i="24" a="1"/>
  <c r="K42" i="24" s="1"/>
  <c r="K41" i="24" a="1"/>
  <c r="K41" i="24" s="1"/>
  <c r="K40" i="24" a="1"/>
  <c r="K40" i="24" s="1"/>
  <c r="K38" i="24" a="1"/>
  <c r="K38" i="24" s="1"/>
  <c r="K37" i="24" a="1"/>
  <c r="K37" i="24" s="1"/>
  <c r="K35" i="24" a="1"/>
  <c r="K35" i="24" s="1"/>
  <c r="K34" i="24" a="1"/>
  <c r="K34" i="24" s="1"/>
  <c r="K33" i="24" a="1"/>
  <c r="K33" i="24" s="1"/>
  <c r="K32" i="24" a="1"/>
  <c r="K32" i="24" s="1"/>
  <c r="K31" i="24" a="1"/>
  <c r="K31" i="24" s="1"/>
  <c r="K29" i="24" a="1"/>
  <c r="K29" i="24" s="1"/>
  <c r="K28" i="24" a="1"/>
  <c r="K28" i="24" s="1"/>
  <c r="K26" i="24" a="1"/>
  <c r="K26" i="24" s="1"/>
  <c r="K25" i="24" a="1"/>
  <c r="K25" i="24" s="1"/>
  <c r="K23" i="24" a="1"/>
  <c r="K23" i="24" s="1"/>
  <c r="K22" i="24" a="1"/>
  <c r="K22" i="24" s="1"/>
  <c r="K20" i="24" a="1"/>
  <c r="K20" i="24" s="1"/>
  <c r="K19" i="24" a="1"/>
  <c r="K19" i="24" s="1"/>
  <c r="K17" i="24" a="1"/>
  <c r="K17" i="24" s="1"/>
  <c r="K16" i="24" a="1"/>
  <c r="K16" i="24" s="1"/>
  <c r="K14" i="24" a="1"/>
  <c r="K14" i="24" s="1"/>
  <c r="K13" i="24" a="1"/>
  <c r="K13" i="24" s="1"/>
  <c r="K12" i="24" a="1"/>
  <c r="K12" i="24" s="1"/>
  <c r="K39" i="23" l="1" a="1"/>
  <c r="K39" i="23" s="1"/>
  <c r="K36" i="23" a="1"/>
  <c r="K36" i="23" s="1"/>
  <c r="K30" i="23" a="1"/>
  <c r="K30" i="23" s="1"/>
  <c r="K27" i="23" a="1"/>
  <c r="K27" i="23" s="1"/>
  <c r="K24" i="23" a="1"/>
  <c r="K24" i="23" s="1"/>
  <c r="K21" i="23" a="1"/>
  <c r="K21" i="23" s="1"/>
  <c r="K18" i="23" a="1"/>
  <c r="K18" i="23" s="1"/>
  <c r="K15" i="23" a="1"/>
  <c r="K15" i="23" s="1"/>
  <c r="A1" i="21" l="1"/>
  <c r="K73" i="23" a="1"/>
  <c r="K73" i="23" s="1"/>
  <c r="K72" i="23" a="1"/>
  <c r="K72" i="23" s="1"/>
  <c r="K71" i="23" a="1"/>
  <c r="K71" i="23" s="1"/>
  <c r="K70" i="23" a="1"/>
  <c r="K70" i="23" s="1"/>
  <c r="K69" i="23" a="1"/>
  <c r="K69" i="23" s="1"/>
  <c r="K67" i="23" a="1"/>
  <c r="K67" i="23" s="1"/>
  <c r="K66" i="23" a="1"/>
  <c r="K66" i="23" s="1"/>
  <c r="K64" i="23" a="1"/>
  <c r="K64" i="23" s="1"/>
  <c r="K62" i="23" a="1"/>
  <c r="K62" i="23" s="1"/>
  <c r="K61" i="23" a="1"/>
  <c r="K61" i="23" s="1"/>
  <c r="K60" i="23" a="1"/>
  <c r="K60" i="23" s="1"/>
  <c r="K59" i="23" a="1"/>
  <c r="K59" i="23" s="1"/>
  <c r="K58" i="23" a="1"/>
  <c r="K58" i="23" s="1"/>
  <c r="K57" i="23" a="1"/>
  <c r="K57" i="23" s="1"/>
  <c r="K56" i="23" a="1"/>
  <c r="K56" i="23" s="1"/>
  <c r="K55" i="23" a="1"/>
  <c r="K55" i="23" s="1"/>
  <c r="K54" i="23" a="1"/>
  <c r="K54" i="23" s="1"/>
  <c r="K53" i="23" a="1"/>
  <c r="K53" i="23" s="1"/>
  <c r="K52" i="23" a="1"/>
  <c r="K52" i="23" s="1"/>
  <c r="K50" i="23" a="1"/>
  <c r="K50" i="23" s="1"/>
  <c r="K49" i="23" a="1"/>
  <c r="K49" i="23" s="1"/>
  <c r="K47" i="23" a="1"/>
  <c r="K47" i="23" s="1"/>
  <c r="K46" i="23" a="1"/>
  <c r="K46" i="23" s="1"/>
  <c r="K44" i="23" a="1"/>
  <c r="K44" i="23" s="1"/>
  <c r="K43" i="23" a="1"/>
  <c r="K43" i="23" s="1"/>
  <c r="K41" i="23" a="1"/>
  <c r="K41" i="23" s="1"/>
  <c r="K40" i="23" a="1"/>
  <c r="K40" i="23" s="1"/>
  <c r="K38" i="23" a="1"/>
  <c r="K38" i="23" s="1"/>
  <c r="K37" i="23" a="1"/>
  <c r="K37" i="23" s="1"/>
  <c r="K35" i="23" a="1"/>
  <c r="K35" i="23" s="1"/>
  <c r="K34" i="23" a="1"/>
  <c r="K34" i="23" s="1"/>
  <c r="K33" i="23" a="1"/>
  <c r="K33" i="23" s="1"/>
  <c r="K32" i="23" a="1"/>
  <c r="K32" i="23" s="1"/>
  <c r="K31" i="23" a="1"/>
  <c r="K31" i="23" s="1"/>
  <c r="K29" i="23" a="1"/>
  <c r="K29" i="23" s="1"/>
  <c r="K28" i="23" a="1"/>
  <c r="K28" i="23" s="1"/>
  <c r="K26" i="23" a="1"/>
  <c r="K26" i="23" s="1"/>
  <c r="K25" i="23" a="1"/>
  <c r="K25" i="23" s="1"/>
  <c r="K23" i="23" a="1"/>
  <c r="K23" i="23" s="1"/>
  <c r="K22" i="23" a="1"/>
  <c r="K22" i="23" s="1"/>
  <c r="K20" i="23" a="1"/>
  <c r="K20" i="23" s="1"/>
  <c r="K19" i="23" a="1"/>
  <c r="K19" i="23" s="1"/>
  <c r="K17" i="23" a="1"/>
  <c r="K17" i="23" s="1"/>
  <c r="K16" i="23" a="1"/>
  <c r="K16" i="23" s="1"/>
  <c r="K14" i="23" a="1"/>
  <c r="K14" i="23" s="1"/>
  <c r="K13" i="23" a="1"/>
  <c r="K13" i="23" s="1"/>
  <c r="O71" i="23" l="1"/>
  <c r="O59" i="23"/>
  <c r="O56" i="23"/>
  <c r="K63" i="23" a="1"/>
  <c r="K63" i="23" s="1"/>
  <c r="O62" i="23"/>
  <c r="K65" i="23" a="1"/>
  <c r="K65" i="23" s="1"/>
  <c r="O65" i="23"/>
  <c r="O68" i="23"/>
  <c r="K68" i="23" a="1"/>
  <c r="K68" i="23" s="1"/>
  <c r="A1" i="19"/>
  <c r="P59" i="23" l="1"/>
  <c r="P71" i="23"/>
  <c r="P56" i="23"/>
  <c r="P68" i="23"/>
  <c r="K45" i="23" a="1"/>
  <c r="K45" i="23" s="1"/>
  <c r="K51" i="23" a="1"/>
  <c r="K51" i="23" s="1"/>
  <c r="P62" i="23"/>
  <c r="K48" i="23" a="1"/>
  <c r="K48" i="23" s="1"/>
  <c r="P65" i="23"/>
  <c r="K12" i="23" l="1" a="1"/>
  <c r="K12" i="23" s="1"/>
  <c r="K42" i="23" a="1"/>
  <c r="K42" i="23" s="1"/>
  <c r="R128" i="20" l="1"/>
  <c r="F128" i="20"/>
  <c r="N127" i="20"/>
  <c r="F126" i="20"/>
  <c r="N125" i="20"/>
  <c r="N124" i="20"/>
  <c r="E121" i="20" a="1"/>
  <c r="E121" i="20" s="1"/>
  <c r="R76" i="20" s="1"/>
  <c r="O115" i="20" a="1"/>
  <c r="O115" i="20" s="1"/>
  <c r="R79" i="20" s="1"/>
  <c r="P102" i="20"/>
  <c r="P103" i="20" s="1"/>
  <c r="P104" i="20" s="1"/>
  <c r="P105" i="20" s="1"/>
  <c r="P106" i="20" s="1"/>
  <c r="P107" i="20" s="1"/>
  <c r="P108" i="20" s="1"/>
  <c r="P109" i="20" s="1"/>
  <c r="P110" i="20" s="1"/>
  <c r="P111" i="20" s="1"/>
  <c r="P112" i="20" s="1"/>
  <c r="P113" i="20" s="1"/>
  <c r="O98" i="20" a="1"/>
  <c r="O98" i="20" s="1"/>
  <c r="R78" i="20" s="1"/>
  <c r="E98" i="20" a="1"/>
  <c r="E98" i="20" s="1"/>
  <c r="R77" i="20" s="1"/>
  <c r="O96" i="20"/>
  <c r="E93" i="20"/>
  <c r="Q82" i="20" a="1"/>
  <c r="Q82" i="20" s="1"/>
  <c r="Q81" i="20" a="1"/>
  <c r="Q81" i="20" s="1"/>
  <c r="P77" i="20"/>
  <c r="P78" i="20" s="1"/>
  <c r="P79" i="20" s="1"/>
  <c r="P80" i="20" s="1"/>
  <c r="P81" i="20" s="1"/>
  <c r="P82" i="20" s="1"/>
  <c r="P83" i="20" s="1"/>
  <c r="P84" i="20" s="1"/>
  <c r="P85" i="20" s="1"/>
  <c r="P86" i="20" s="1"/>
  <c r="P87" i="20" s="1"/>
  <c r="P88" i="20" s="1"/>
  <c r="P89" i="20" s="1"/>
  <c r="P90" i="20" s="1"/>
  <c r="P91" i="20" s="1"/>
  <c r="P92" i="20" s="1"/>
  <c r="P93" i="20" s="1"/>
  <c r="P94" i="20" s="1"/>
  <c r="P95" i="20" s="1"/>
  <c r="P96" i="20" s="1"/>
  <c r="F77" i="20"/>
  <c r="F78" i="20" s="1"/>
  <c r="F79" i="20" s="1"/>
  <c r="F80" i="20" s="1"/>
  <c r="F81" i="20" s="1"/>
  <c r="F82" i="20" s="1"/>
  <c r="F83" i="20" s="1"/>
  <c r="F84" i="20" s="1"/>
  <c r="F85" i="20" s="1"/>
  <c r="F86" i="20" s="1"/>
  <c r="F87" i="20" s="1"/>
  <c r="F88" i="20" s="1"/>
  <c r="F89" i="20" s="1"/>
  <c r="F90" i="20" s="1"/>
  <c r="F91" i="20" s="1"/>
  <c r="F92" i="20" s="1"/>
  <c r="F93" i="20" s="1"/>
  <c r="W14" i="20"/>
  <c r="U14" i="20" a="1"/>
  <c r="U14" i="20" s="1"/>
  <c r="U13" i="20" a="1"/>
  <c r="U13" i="20" s="1"/>
  <c r="J13" i="20"/>
  <c r="U12" i="20" a="1"/>
  <c r="U12" i="20" s="1"/>
  <c r="U11" i="20" a="1"/>
  <c r="U11" i="20" s="1"/>
  <c r="U10" i="20" a="1"/>
  <c r="U10" i="20" s="1"/>
  <c r="U9" i="20" a="1"/>
  <c r="U9" i="20" s="1"/>
  <c r="U8" i="20" a="1"/>
  <c r="U8" i="20" s="1"/>
  <c r="U7" i="20" a="1"/>
  <c r="U7" i="20" s="1"/>
  <c r="U6" i="20" a="1"/>
  <c r="U6" i="20" s="1"/>
  <c r="U5" i="20" a="1"/>
  <c r="U5" i="20" s="1"/>
  <c r="U4" i="20" a="1"/>
  <c r="U4" i="20" s="1"/>
  <c r="U3" i="20" a="1"/>
  <c r="U3" i="20" s="1"/>
  <c r="R82" i="20" a="1"/>
  <c r="X8" i="20" a="1"/>
  <c r="X6" i="20" a="1"/>
  <c r="R81" i="20" a="1"/>
  <c r="X14" i="20" a="1"/>
  <c r="X10" i="20" a="1"/>
  <c r="X11" i="20" a="1"/>
  <c r="X4" i="20" a="1"/>
  <c r="X9" i="20" a="1"/>
  <c r="X12" i="20" a="1"/>
  <c r="X7" i="20" a="1"/>
  <c r="X13" i="20" a="1"/>
  <c r="X3" i="20" a="1"/>
  <c r="X5" i="20" a="1"/>
  <c r="X4" i="20" l="1"/>
  <c r="V4" i="20" s="1"/>
  <c r="F125" i="20" s="1"/>
  <c r="X9" i="20"/>
  <c r="V9" i="20" s="1"/>
  <c r="N129" i="20" s="1"/>
  <c r="X13" i="20"/>
  <c r="V13" i="20" s="1"/>
  <c r="R125" i="20" s="1"/>
  <c r="X10" i="20"/>
  <c r="V10" i="20" s="1"/>
  <c r="N130" i="20" s="1"/>
  <c r="X14" i="20"/>
  <c r="V14" i="20" s="1"/>
  <c r="R127" i="20" s="1"/>
  <c r="X7" i="20"/>
  <c r="V7" i="20" s="1"/>
  <c r="F131" i="20" s="1"/>
  <c r="X12" i="20"/>
  <c r="V12" i="20" s="1"/>
  <c r="R124" i="20" s="1"/>
  <c r="R82" i="20"/>
  <c r="V61" i="20" s="1"/>
  <c r="X6" i="20"/>
  <c r="X3" i="20"/>
  <c r="V3" i="20" s="1"/>
  <c r="R81" i="20"/>
  <c r="V47" i="20" s="1"/>
  <c r="X5" i="20"/>
  <c r="X8" i="20"/>
  <c r="V8" i="20" s="1"/>
  <c r="N128" i="20" s="1"/>
  <c r="X11" i="20"/>
  <c r="V11" i="20" s="1"/>
  <c r="N131" i="20" s="1"/>
  <c r="F124" i="20" l="1"/>
  <c r="C73" i="20" s="1"/>
  <c r="D38" i="14" l="1"/>
  <c r="T53" i="10" l="1"/>
  <c r="T46" i="10"/>
  <c r="T39" i="10"/>
  <c r="T32" i="10"/>
  <c r="T25" i="10"/>
  <c r="T18" i="10"/>
  <c r="T11" i="10"/>
  <c r="F18" i="9"/>
  <c r="F13" i="9"/>
  <c r="F8" i="9"/>
  <c r="U11" i="10" l="1"/>
  <c r="K24" i="15"/>
  <c r="AB2" i="29"/>
  <c r="K25" i="15"/>
  <c r="AC2" i="29"/>
  <c r="U25" i="10"/>
  <c r="K26" i="15"/>
  <c r="AD2" i="29"/>
  <c r="U32" i="10"/>
  <c r="K27" i="15"/>
  <c r="AE2" i="29"/>
  <c r="U39" i="10"/>
  <c r="K28" i="15"/>
  <c r="AF2" i="29"/>
  <c r="U46" i="10"/>
  <c r="K29" i="15"/>
  <c r="AG2" i="29"/>
  <c r="K30" i="15"/>
  <c r="AH2" i="29"/>
  <c r="G13" i="9"/>
  <c r="K35" i="15"/>
  <c r="AL2" i="29"/>
  <c r="K34" i="15"/>
  <c r="AK2" i="29"/>
  <c r="K36" i="15"/>
  <c r="AM2" i="29"/>
  <c r="E24" i="9"/>
  <c r="E25" i="9" s="1"/>
  <c r="G18" i="9"/>
  <c r="O59" i="10"/>
  <c r="U53" i="10"/>
  <c r="G8" i="9"/>
  <c r="U18" i="10"/>
  <c r="AN2" i="29" l="1"/>
  <c r="H30" i="12"/>
  <c r="J30" i="12" s="1"/>
  <c r="H30" i="13"/>
  <c r="J30" i="13" s="1"/>
  <c r="A15" i="15"/>
  <c r="BB2" i="29" s="1"/>
  <c r="A11" i="15" a="1"/>
  <c r="C11" i="15" a="1"/>
  <c r="C15" i="15"/>
  <c r="BC2" i="29" s="1"/>
  <c r="F25" i="9"/>
  <c r="AO2" i="29" s="1"/>
  <c r="N60" i="10"/>
  <c r="AI2" i="29" l="1"/>
  <c r="G29" i="14"/>
  <c r="I29" i="14" s="1"/>
  <c r="I30" i="14" s="1"/>
  <c r="G29" i="11"/>
  <c r="I29" i="11" s="1"/>
  <c r="I30" i="11" s="1"/>
  <c r="I31" i="11" s="1"/>
  <c r="H29" i="12"/>
  <c r="J29" i="12" s="1"/>
  <c r="J31" i="12" s="1"/>
  <c r="J32" i="12" s="1"/>
  <c r="H29" i="13"/>
  <c r="J29" i="13" s="1"/>
  <c r="J31" i="13" s="1"/>
  <c r="J32" i="13" s="1"/>
  <c r="C11" i="15"/>
  <c r="AY2" i="29" s="1"/>
  <c r="AZ2" i="29"/>
  <c r="BA2" i="29"/>
  <c r="AW2" i="29"/>
  <c r="A11" i="15"/>
  <c r="AV2" i="29" s="1"/>
  <c r="AX2" i="29"/>
  <c r="R60" i="10"/>
  <c r="AJ2" i="29" s="1"/>
  <c r="I31" i="14" l="1"/>
  <c r="L81" i="26" l="1"/>
  <c r="L74" i="23"/>
  <c r="L79" i="25"/>
  <c r="L74"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<sst xmlns="http://schemas.openxmlformats.org/spreadsheetml/2006/main" count="3812" uniqueCount="1696">
  <si>
    <t>Position:</t>
  </si>
  <si>
    <t>Date of Review:</t>
  </si>
  <si>
    <t>Timeliness</t>
  </si>
  <si>
    <t>Objectives</t>
  </si>
  <si>
    <t>Timeline</t>
  </si>
  <si>
    <t>Rating</t>
  </si>
  <si>
    <t>Quality</t>
  </si>
  <si>
    <t>Efficiency</t>
  </si>
  <si>
    <t>Prepared by:</t>
  </si>
  <si>
    <t>Recommending Approval:</t>
  </si>
  <si>
    <t>Approved by:</t>
  </si>
  <si>
    <t>SY 2025-2026</t>
  </si>
  <si>
    <t>Content Knowledge and Pedagogy</t>
  </si>
  <si>
    <t>1. Applied knowledge of content within and across curriculum teaching areas (PPST 1.1.2)</t>
  </si>
  <si>
    <t>2. Used a range of teaching strategies that enhance learner achievement in literacy and numeracy skills (PPST 1.4.2)</t>
  </si>
  <si>
    <t>3. Applied a range of teaching strategies to develop critical and creative thinking, as well as other higher-order thinking skills (PPST 1.5.2)</t>
  </si>
  <si>
    <t>Learning Environment</t>
  </si>
  <si>
    <t>4. Managed classroom structure to engage learners, individually or in groups, in meaningful exploration, discovery and hands-on activities within a range of physical learning environments (PPST 2.3.2)</t>
  </si>
  <si>
    <t>5. Managed learner behavior constructively by applying positive and non-violent discipline to ensure learning- focused environments (PPST 2.6.2)</t>
  </si>
  <si>
    <t>Diversity of Learners</t>
  </si>
  <si>
    <t>6. Used differentiated, developmentally appropriate learning experiences to address learners’ gender, needs, strengths, interests and experiences (PPST 3.1.2)</t>
  </si>
  <si>
    <t>Curriculum and Planning</t>
  </si>
  <si>
    <t>7. Planned, managed and implemented developmentally sequenced teaching and learning processes to meet curriculum requirements and varied teaching contexts (PPST 4.1.2)</t>
  </si>
  <si>
    <t>8. Participated in collegial discussions that use teacher and learner feedback to  enrich teaching practice (PPST 4.4.2)</t>
  </si>
  <si>
    <t>9. Selected, developed, organized and used appropriate teaching and learning resources, including ICT, to address learning goals (PPST 4.5.2)</t>
  </si>
  <si>
    <t>Assessment and Reporting</t>
  </si>
  <si>
    <t>11. Monitored and evaluated learner progress and achievement using learner attainment data (PPST 5.2.2)</t>
  </si>
  <si>
    <t>12. Communicated promptly and clearly the learners’ needs, progress and achievement  to key stakeholders, including parents/guardians (PPST 5.4.2)</t>
  </si>
  <si>
    <t>Personal Growth and Professional Development</t>
  </si>
  <si>
    <t>13. Applied a personal philosophy of teaching that is learner-centered (PPST 7.1.2)</t>
  </si>
  <si>
    <t>14. Set professional development goals based on the Philippine Professional Standards for Teachers (PPST  7.5.2)</t>
  </si>
  <si>
    <t>1. Modelled effective applications of content knowledge within and across curriculum teaching areas  (PPST 1.1.3)</t>
  </si>
  <si>
    <t>2. Evaluated with colleagues the effectiveness of teaching strategies that promote learner achievement in literacy and numeracy  (PPST 1.4.3)</t>
  </si>
  <si>
    <t>3. Developed and applied effective teaching strategies to promote critical and creative thinking, as well as other higher-order thinking skills  (PPST 1.5.3)</t>
  </si>
  <si>
    <t>4. Worked with colleagues to model and share effective techniques in the management of classroom structure to engage learners, individually or in groups, in meaningful exploration, discovery and hands-on activities within a range of physical learning environments  (PPST 2.3.3)</t>
  </si>
  <si>
    <t>5. Exhibited effective and constructive behavior management skills by applying positive and non-violent discipline to ensure learning- focused environments  (PPST 2.6.3)</t>
  </si>
  <si>
    <t>6. Worked with colleagues to share differentiated, developmentally appropriate opportunities to address learners’ differences in gender, needs, strengths, interests and experiences  (PPST 3.1.3)</t>
  </si>
  <si>
    <t>7. Developed and applied effective strategies in the planning and management of developmentally sequenced teaching and learning processes  to meet curriculum requirements and varied teaching
contexts  (PPST 4.1.3)</t>
  </si>
  <si>
    <t>8. Reviewed with colleagues, teacher and learner feedback to plan, facilitate and enrich teaching practice  (PPST 4.4.3)</t>
  </si>
  <si>
    <t>9. Advised and guided colleagues  in the selection, organization, development and use of appropriate teaching and learning resources, including ICT, to address specific learning goals  (PPST 4.5.3)</t>
  </si>
  <si>
    <t>10. Worked collaboratively with colleagues to review the design, selection, organization and use of a range of effective diagnostic, formative and summative assessment strategies consistent with curriculum requirements  (PPST 5.1.3)</t>
  </si>
  <si>
    <t>11. Interpreted collaboratively monitoring and evaluation strategies of attainment data to support learner progress and achievement  (PPST 5.2.3)</t>
  </si>
  <si>
    <t>12. Applied skills in the effective communication of learner needs, progress and achievement to key stakeholders, including parents/guardians  (PPST 5.4.3)</t>
  </si>
  <si>
    <t>13. Manifested a learner-centered teaching philosophy in various aspects of practice and support colleagues in enhancing their own learner-centered teaching philosophy  (PPST 7.1.3)</t>
  </si>
  <si>
    <t>14. Reflected on the Philippine Professional Standards for Teachers to plan personal professional development goals and assist colleagues in planning and achieving their own goals  (PPST 7.5.3)</t>
  </si>
  <si>
    <t>1. Modelled exemplary practice to improve the applications of content  knowledge within and across curriculum teaching areas. (PPST 1.1.4)</t>
  </si>
  <si>
    <t>2. Modelled a comprehensive selection of effective teaching strategies that promote learner achievement in literacy and numeracy. (PPST 1.4.4)</t>
  </si>
  <si>
    <t>3. Lead colleagues in reviewing, modifying and  expanding their range of  teaching strategies that promote critical and creative  thinking, as well as other higher-order thinking skills. (PPST 1.5.4)</t>
  </si>
  <si>
    <t>4. Modelled exemplary practices in the management of classroom structure and  activities, and lead colleagues at the whole-school level to review and evaluate their practices. (PPST 2.3.4)</t>
  </si>
  <si>
    <t>5. Provided leadership in applying a wide range of strategies in the implementation of positive and  non-violent discipline policies/procedures to ensure  learning-focused environments. (PPST 2.6.4)</t>
  </si>
  <si>
    <t>7. Modelled exemplary  practice and lead colleagues in enhancing current practices in the planning and management of developmentally sequenced teaching and learning process. (PPST 4.1.4)</t>
  </si>
  <si>
    <t>9. Modelled exemplary skills and lead colleagues in the development and evaluation of  teaching and learning resources, including ICT, for  use within and beyond the school. (PPST 4.5.4)</t>
  </si>
  <si>
    <t>11. Provided advice on, and mentor colleagues in the effective analysis and use of learner attainment data. (PPST 5.2.4)</t>
  </si>
  <si>
    <t>12. Shared with colleagues a wide range of strategies that ensure effective communication of learner needs, progress and  achievement to key stakeholders, including parents/guardians. (PPST 5.4.4)</t>
  </si>
  <si>
    <t>13. Modelled a learner-centered teaching philosophy through teaching practices that stimulate colleagues to engage in further professional learning. (PPST 7.1.4)</t>
  </si>
  <si>
    <t xml:space="preserve">*DepEd Competencies 
Scale: 
5 - Outstanding (Role Model - Behavioral indicator is consistently exhibited and is worthy of emulation); 
4 - Very Satisfactory ( Consistently Demonstrated - Behavioral indicator is constantly showed); 
3 - Satisfactory (Most of the Time Demonstrated - Behavioral indicator is often showed); 
2 - Unsatisfactory (Sometimes Demonstrated - Behavioral indicator is irregularly showed); 
1 - Poor (Rarely Demonstrated -Behavioral indicator is seldomly showed)
</t>
  </si>
  <si>
    <t>**Rating Scale: 
5.000 - Outstanding (4.500-5.000); 
4.000 - Very Satisfactory (3.5000-4.499); 
3.000 - Satisfactory (2.500 - 3.499); 
2.000 - Unsatisfactory (1.500-2.499); 
1.000  - Poor (Below 1.499)</t>
  </si>
  <si>
    <t>Competencies</t>
  </si>
  <si>
    <t>Behavioral Indicators</t>
  </si>
  <si>
    <t>Leading People</t>
  </si>
  <si>
    <t>1.   Uses basic persuasion techniques in a discussion or presentation e.g., staff mobilization, appeals to reason and/or emotions, uses data and examples, visual aids</t>
  </si>
  <si>
    <t>2.   Persuades, convinces or influences others, in order to have a specific impact or effect.</t>
  </si>
  <si>
    <t>3.   “Sets a good example”, is a credible and respected leader; and demonstrates desired behavior.</t>
  </si>
  <si>
    <t>4.   Forwards personal, professional and work unit needs and interests in an issue.</t>
  </si>
  <si>
    <t>5.   Assumes a pivotal role in promoting the development of an inspiring, relevant vision for the organization and influences others to share ownership of DepEd goals, in order to create an effective work environment.</t>
  </si>
  <si>
    <t>People Performance Management</t>
  </si>
  <si>
    <t>1.   Makes specific changes in the performance management system or in own work methods to improve performance (e.g. does something better, faster, at lower cost, more efficiently; improves quality, customer satisfaction, morale, revenues).</t>
  </si>
  <si>
    <t>2.   Sets performance standards and measures progress of employees based on office and department targets.</t>
  </si>
  <si>
    <t>3.   Provides feedback and technical assistance such as coaching for performance improvement and action planning.</t>
  </si>
  <si>
    <t>4.   States performance expectations clearly and checks understanding and commitment.</t>
  </si>
  <si>
    <t>5.   Performs all the stages of result-based performance management system supported by evidence and required documents/forms.</t>
  </si>
  <si>
    <t>People Development</t>
  </si>
  <si>
    <t>1.   Improves the skills and effectiveness of individuals through employing a range of development strategies.</t>
  </si>
  <si>
    <t>2.   Facilitates workforce effectiveness through coaching and motivating/developing people within a work environment that promotes mutual trust and respect.</t>
  </si>
  <si>
    <t>3.   Conceptualizes and implements learning interventions to meet identified training needs.</t>
  </si>
  <si>
    <t>4.   Does long-term coaching or training by arranging appropriate and helpful assignments, formal training, or other experiences for the purpose of supporting a person’s learning and development.</t>
  </si>
  <si>
    <t>5.   Cultivates a learning environment by structuring interactive experiences such as looking for future opportunities that are in support of achieving individual career goals.</t>
  </si>
  <si>
    <t>1. SELF - MANAGEMENT</t>
  </si>
  <si>
    <t>Sets personal goals and directions, needs and development.</t>
  </si>
  <si>
    <t>Poor</t>
  </si>
  <si>
    <t>Undertakes personal actions and behavior that are clear and purposive and takes into account personal goals and values congruent to that of the organization.</t>
  </si>
  <si>
    <t>Unsatisfactory</t>
  </si>
  <si>
    <t>Displays emotional maturity and enthusiasm for and is challenged by higher goals.</t>
  </si>
  <si>
    <t>Satisfactory</t>
  </si>
  <si>
    <t>Prioritizes work tasks and schedules (through Gantt charts, checklists, etc.) to achieve goals.</t>
  </si>
  <si>
    <t>Very Satisfactory</t>
  </si>
  <si>
    <t>Sets high quality, challenging, realistic goals for self and others.</t>
  </si>
  <si>
    <t>Outstanding</t>
  </si>
  <si>
    <t>2. PROFESSIONALISM AND ETHICS</t>
  </si>
  <si>
    <t>Demonstrates the values and behavior enshrined in the Norms and Conduct and Ethical Standards for public officials and employees (RA 6713).</t>
  </si>
  <si>
    <t>Practices ethical and professional behavior and conduct taking into account the impact of his/her actions and decisions.</t>
  </si>
  <si>
    <t>Maintains a professional image: being trustworthy, regularity of attendance and punctuality, good grooming and communication.</t>
  </si>
  <si>
    <t>Makes personal sacrifices to meet the organization's needs.</t>
  </si>
  <si>
    <t>Act with a sense of urgency and responsibility to meet the organization’s needs, improve system and help others improve their effectiveness.</t>
  </si>
  <si>
    <t>3. RESULTS FOCUS</t>
  </si>
  <si>
    <t>Achieves results with optimal use of time and resources most of the time.</t>
  </si>
  <si>
    <t>Avoids rework, mistakes and wastage through effective work methods by placing organizational needs before personal needs.</t>
  </si>
  <si>
    <t>Delivers error-free outputs most of the time by conforming to standard operating procedures correctly and consistently. Able to produce very satisfactory quality work in terms of usefulness/acceptability and completeness with no supervision required.</t>
  </si>
  <si>
    <t>Expresses a desire to do better and may express frustration at waste or inefficiency. May focus on new or more precise ways of meeting goals set.</t>
  </si>
  <si>
    <t>Makes specific changes in the system or in own work methods to improve performance. Examples may include doing something better, faster, at a lower cost, more efficiently, or improving quality, customer satisfaction, morale, without setting any specific goal.</t>
  </si>
  <si>
    <t>4. TEAMWORK</t>
  </si>
  <si>
    <t>Willingly does his/her share of responsibility.</t>
  </si>
  <si>
    <t>Promotes collaboration and removes barrier to teamwork and goal accomplishment across the organization.</t>
  </si>
  <si>
    <t>Applies negotiation principles in arriving at win-win agreements.</t>
  </si>
  <si>
    <t>Drives consensus and team ownership of decisions.</t>
  </si>
  <si>
    <t>Works constructively and collaboratively with others and across organizations to accomplish organization goals and objectives.</t>
  </si>
  <si>
    <t>5. SERVICE ORIENTATION</t>
  </si>
  <si>
    <t>Can explain and articulate organizational directions, issues and problems.</t>
  </si>
  <si>
    <t>Takes personal responsibility for dealing with and/or correcting customer service issues and concerns.</t>
  </si>
  <si>
    <t>Initiates activities that promote advocacy for men and women empowerment.</t>
  </si>
  <si>
    <t>Participates in updating office vision, mission, mandates and strategies based on DepEd strategies and directions.</t>
  </si>
  <si>
    <t>Develops and adopts service improvement program through simplified procedures that will further enhance service delivery.</t>
  </si>
  <si>
    <t>6. INNOVATION</t>
  </si>
  <si>
    <t>Examines the root cause of problems and suggests effective solutions. Foster new ideas, processes and suggests better ways to do things (cost and/or operational efficiency).</t>
  </si>
  <si>
    <t>Demonstrates an ability to think “beyond the box”. Continuously focuses on improving personal productivity to create higher value and results.</t>
  </si>
  <si>
    <t>Promotes a creative climate and inspires co-workers to develop original ideas or solutions.</t>
  </si>
  <si>
    <t>Translates creative thinking into tangible changes and solutions that improve the work unit and organization.</t>
  </si>
  <si>
    <t>Uses ingenious methods to accomplish responsibilities. Demonstrates resourcefulness and the ability to succeed with minimal resources.</t>
  </si>
  <si>
    <t>7. GENDER SENSITIVITY</t>
  </si>
  <si>
    <t>Recognizes and respects individual differences.</t>
  </si>
  <si>
    <t>Does not discriminate persons on the basis of Sexual Orientation, Gender Identity, Gender Expression, and Sex Characteristics (SOGIESC).</t>
  </si>
  <si>
    <t>Promotes gender equality, diversity, and inclusion in the workplace.</t>
  </si>
  <si>
    <t>Has zero-tolerance to gender-biases, discriminatory and exclusionary behaviors and practices.</t>
  </si>
  <si>
    <t>Taking affirmatice action to address gender inequalities.</t>
  </si>
  <si>
    <t>10. Designed, selected, organized and used diagnostic, formative and summative assessment strategies consistent with curriculum requirements (PPST 5.1.2)</t>
  </si>
  <si>
    <t>Quality
(Classroom
Observable
Practice)</t>
  </si>
  <si>
    <t>Quality
(Non-Classroom
Observable
Practice)</t>
  </si>
  <si>
    <t>Select Career Stage:</t>
  </si>
  <si>
    <t>Name of Employee:</t>
  </si>
  <si>
    <t>Name of Rater:</t>
  </si>
  <si>
    <t>Rating Period:</t>
  </si>
  <si>
    <t>PART III. SUMMARY OF RATINGS FOR DISCUSSION</t>
  </si>
  <si>
    <t>KRA</t>
  </si>
  <si>
    <t>Weight per Objective</t>
  </si>
  <si>
    <t>Numerical Ratings</t>
  </si>
  <si>
    <t>Score</t>
  </si>
  <si>
    <t>Adjectival
Rating</t>
  </si>
  <si>
    <t>Q</t>
  </si>
  <si>
    <t>E</t>
  </si>
  <si>
    <t>T</t>
  </si>
  <si>
    <t>Ave</t>
  </si>
  <si>
    <t>Adjectival Rating</t>
  </si>
  <si>
    <t>Indicator 1 - 1.1.2</t>
  </si>
  <si>
    <t>Indicator 2 - 1.4.2</t>
  </si>
  <si>
    <t>Indicator 3 - 1.5.2</t>
  </si>
  <si>
    <t>KRA 1</t>
  </si>
  <si>
    <t>KRA 2</t>
  </si>
  <si>
    <t>KRA 3</t>
  </si>
  <si>
    <t>KRA 4</t>
  </si>
  <si>
    <t>KRA 5</t>
  </si>
  <si>
    <t>KRA 7</t>
  </si>
  <si>
    <t>Indicator 4 - 2.3.2</t>
  </si>
  <si>
    <t>Indicator 5 - 2.6.2</t>
  </si>
  <si>
    <t>Indicator 6 - 3.1.2</t>
  </si>
  <si>
    <t>Indicator 7 - 4.1.2</t>
  </si>
  <si>
    <t>Indicator 8 - 4.4.2</t>
  </si>
  <si>
    <t>Indicator 9 - 4.5.2</t>
  </si>
  <si>
    <t>Indicator 10 - 5.1.2</t>
  </si>
  <si>
    <t>Indicator 11 - 5.2.2</t>
  </si>
  <si>
    <t>Indicator 12 - 5.4.2</t>
  </si>
  <si>
    <t>Indicator 13 - 7.1.2</t>
  </si>
  <si>
    <t>Indicator 14 - 7.5.2</t>
  </si>
  <si>
    <t xml:space="preserve">PART I. PROFESSIONAL STANDARDS </t>
  </si>
  <si>
    <t>PART II - A. CORE COMPETENCIES</t>
  </si>
  <si>
    <t>PART II - B. LEADERSHIP COMPETENCIES</t>
  </si>
  <si>
    <t>Division/School:</t>
  </si>
  <si>
    <t>INDIVIDUAL DEVELOPMENT PLANS</t>
  </si>
  <si>
    <t>Strengths</t>
  </si>
  <si>
    <t>Development Needs</t>
  </si>
  <si>
    <t>Action Plan</t>
  </si>
  <si>
    <t>Resources Needed</t>
  </si>
  <si>
    <t>(Recommended Developmental Intervention)</t>
  </si>
  <si>
    <t>all valid?</t>
  </si>
  <si>
    <t>Learning Objectives</t>
  </si>
  <si>
    <t>Intervention</t>
  </si>
  <si>
    <t>index</t>
  </si>
  <si>
    <t/>
  </si>
  <si>
    <t>B. Core Behavioral Competencies</t>
  </si>
  <si>
    <t>C. Leadership Competencies</t>
  </si>
  <si>
    <t>PPST Indicators for Development from the Teacher’s Commitment Form</t>
  </si>
  <si>
    <t>(Maximum of three (3) PPST Indicators with below the minimum performance.)</t>
  </si>
  <si>
    <t>PPST Indicator</t>
  </si>
  <si>
    <t>Self-Management</t>
  </si>
  <si>
    <t>Professionalism and Ethics</t>
  </si>
  <si>
    <t>Teamwork</t>
  </si>
  <si>
    <t>Service Orientation</t>
  </si>
  <si>
    <t>Innovation</t>
  </si>
  <si>
    <t>Feedback</t>
  </si>
  <si>
    <t>RATEE</t>
  </si>
  <si>
    <t>RATER</t>
  </si>
  <si>
    <t>APPROVING AUTHORITY</t>
  </si>
  <si>
    <t>Region</t>
  </si>
  <si>
    <t>Division</t>
  </si>
  <si>
    <t>div_code</t>
  </si>
  <si>
    <t>reg_code</t>
  </si>
  <si>
    <t>named_reference</t>
  </si>
  <si>
    <t>lookup_reference</t>
  </si>
  <si>
    <t>Offering</t>
  </si>
  <si>
    <t>Levels</t>
  </si>
  <si>
    <t>Class lookup</t>
  </si>
  <si>
    <t>BARMM</t>
  </si>
  <si>
    <t>Basilan</t>
  </si>
  <si>
    <t>BARMM-01</t>
  </si>
  <si>
    <t>Bangsamoro Autonomous Region in Muslim Mindanao (BARMM)</t>
  </si>
  <si>
    <t>BARMM_divlist</t>
  </si>
  <si>
    <t>BARMM_vlookup</t>
  </si>
  <si>
    <t>Kindergarten</t>
  </si>
  <si>
    <t>Class1</t>
  </si>
  <si>
    <t>Cotabato City</t>
  </si>
  <si>
    <t>BARMM-10</t>
  </si>
  <si>
    <t>Cordillera Administrative Region (CAR)</t>
  </si>
  <si>
    <t>CAR</t>
  </si>
  <si>
    <t>CAR_divlist</t>
  </si>
  <si>
    <t>CAR_vlookup</t>
  </si>
  <si>
    <t>Kinder to Grade 6</t>
  </si>
  <si>
    <t>Class2</t>
  </si>
  <si>
    <t>Lamitan City</t>
  </si>
  <si>
    <t>BARMM-02</t>
  </si>
  <si>
    <t>National Capital Region (NCR)</t>
  </si>
  <si>
    <t>NCR</t>
  </si>
  <si>
    <t>NCR_divlist</t>
  </si>
  <si>
    <t>NCR_vlookup</t>
  </si>
  <si>
    <t>Elementary</t>
  </si>
  <si>
    <t>Kinder to Grade 10</t>
  </si>
  <si>
    <t>Class3</t>
  </si>
  <si>
    <t>Lanao del Sur I</t>
  </si>
  <si>
    <t>BARMM-03</t>
  </si>
  <si>
    <t>I - Ilocos Region</t>
  </si>
  <si>
    <t>REG1</t>
  </si>
  <si>
    <t>REG1_divlist</t>
  </si>
  <si>
    <t>REG1_vlookup</t>
  </si>
  <si>
    <t>Kinder to Grade 12</t>
  </si>
  <si>
    <t>Class4</t>
  </si>
  <si>
    <t>Lanao del Sur II</t>
  </si>
  <si>
    <t>BARMM-04</t>
  </si>
  <si>
    <t>II - Cagayan Valley</t>
  </si>
  <si>
    <t>REG2</t>
  </si>
  <si>
    <t>REG2_divlist</t>
  </si>
  <si>
    <t>REG2_vlookup</t>
  </si>
  <si>
    <t>Kinder to Grade 6; Grade 11-12</t>
  </si>
  <si>
    <t>Class5</t>
  </si>
  <si>
    <t>Maguindanao I</t>
  </si>
  <si>
    <t>BARMM-05</t>
  </si>
  <si>
    <t>III - Central Luzon</t>
  </si>
  <si>
    <t>REG3</t>
  </si>
  <si>
    <t>REG3_divlist</t>
  </si>
  <si>
    <t>REG3_vlookup</t>
  </si>
  <si>
    <t>Junior High School</t>
  </si>
  <si>
    <t>Kinder to Grade 10 attached to Tertiary</t>
  </si>
  <si>
    <t>Class6</t>
  </si>
  <si>
    <t>Maguindanao II</t>
  </si>
  <si>
    <t>BARMM-06</t>
  </si>
  <si>
    <t>IV-A - CALABARZON</t>
  </si>
  <si>
    <t>REG4A</t>
  </si>
  <si>
    <t>REG4A_divlist</t>
  </si>
  <si>
    <t>REG4A_vlookup</t>
  </si>
  <si>
    <t>Kinder to Grade 12 attached to Tertiary</t>
  </si>
  <si>
    <t>Class7</t>
  </si>
  <si>
    <t>Marawi City</t>
  </si>
  <si>
    <t>BARMM-07</t>
  </si>
  <si>
    <t>IV-B - MIMAROPA</t>
  </si>
  <si>
    <t>REG4B</t>
  </si>
  <si>
    <t>REG4B_divlist</t>
  </si>
  <si>
    <t>REG4B_vlookup</t>
  </si>
  <si>
    <t>Kindergarten; Grade 7-10</t>
  </si>
  <si>
    <t>Class8</t>
  </si>
  <si>
    <t>BARMM-08</t>
  </si>
  <si>
    <t>V - Bicol Region</t>
  </si>
  <si>
    <t>REG5</t>
  </si>
  <si>
    <t>REG5_divlist</t>
  </si>
  <si>
    <t>REG5_vlookup</t>
  </si>
  <si>
    <t>Kindergarten; Grade 7-10; Grade 11-12</t>
  </si>
  <si>
    <t>Class9</t>
  </si>
  <si>
    <t>Tawi-Tawi</t>
  </si>
  <si>
    <t>BARMM-09</t>
  </si>
  <si>
    <t>VI - Western Visayas</t>
  </si>
  <si>
    <t>REG6</t>
  </si>
  <si>
    <t>REG6_divlist</t>
  </si>
  <si>
    <t>REG6_vlookup</t>
  </si>
  <si>
    <t>Senior High School</t>
  </si>
  <si>
    <t>Kindergarten; Grade 11-12</t>
  </si>
  <si>
    <t>Class10</t>
  </si>
  <si>
    <t>Special Geographic Areas (63 Brgys in N. Cot)</t>
  </si>
  <si>
    <t>BARMM-11</t>
  </si>
  <si>
    <t>VII - Central Visayas</t>
  </si>
  <si>
    <t>REG7</t>
  </si>
  <si>
    <t>REG7_divlist</t>
  </si>
  <si>
    <t>REG7_vlookup</t>
  </si>
  <si>
    <t>Grade 1-6</t>
  </si>
  <si>
    <t>Class11</t>
  </si>
  <si>
    <t>Abra</t>
  </si>
  <si>
    <t>CAR-01</t>
  </si>
  <si>
    <t>VIII - Eastern Visayas</t>
  </si>
  <si>
    <t>REG8</t>
  </si>
  <si>
    <t>REG8_divlist</t>
  </si>
  <si>
    <t>REG8_vlookup</t>
  </si>
  <si>
    <t>Grade 1-6; Grade 7-10</t>
  </si>
  <si>
    <t>Class12</t>
  </si>
  <si>
    <t>Apayao</t>
  </si>
  <si>
    <t>CAR-02</t>
  </si>
  <si>
    <t>IX - Zamboanga Peninsula</t>
  </si>
  <si>
    <t>REG9</t>
  </si>
  <si>
    <t>REG9_divlist</t>
  </si>
  <si>
    <t>REG9_vlookup</t>
  </si>
  <si>
    <t>Grade 1-6; Grade 11-12</t>
  </si>
  <si>
    <t>Class13</t>
  </si>
  <si>
    <t>Baguio City</t>
  </si>
  <si>
    <t>CAR-03</t>
  </si>
  <si>
    <t>X - Northern Mindanao</t>
  </si>
  <si>
    <t>REG10</t>
  </si>
  <si>
    <t>REG10_divlist</t>
  </si>
  <si>
    <t>REG10_vlookup</t>
  </si>
  <si>
    <t>Grade 1-6; Grade 7-10; Grade 11-12</t>
  </si>
  <si>
    <t>Class14</t>
  </si>
  <si>
    <t>Benguet</t>
  </si>
  <si>
    <t>CAR-04</t>
  </si>
  <si>
    <t>XI - Davao Region</t>
  </si>
  <si>
    <t>REG11</t>
  </si>
  <si>
    <t>REG11_divlist</t>
  </si>
  <si>
    <t>REG11_vlookup</t>
  </si>
  <si>
    <t>Grade 7-10</t>
  </si>
  <si>
    <t>Class15</t>
  </si>
  <si>
    <t>Ifugao</t>
  </si>
  <si>
    <t>CAR-05</t>
  </si>
  <si>
    <t>XII - SOCCSKSARGEN</t>
  </si>
  <si>
    <t>REG12</t>
  </si>
  <si>
    <t>REG12_divlist</t>
  </si>
  <si>
    <t>REG12_vlookup</t>
  </si>
  <si>
    <t>Grade 7-10; Grade 11-12</t>
  </si>
  <si>
    <t>Class16</t>
  </si>
  <si>
    <t>Kalinga</t>
  </si>
  <si>
    <t>CAR-06</t>
  </si>
  <si>
    <t>XIII - CARAGA Region</t>
  </si>
  <si>
    <t>REG13</t>
  </si>
  <si>
    <t>REG13_divlist</t>
  </si>
  <si>
    <t>REG13_vlookup</t>
  </si>
  <si>
    <t>Grade 11-12</t>
  </si>
  <si>
    <t>Class17</t>
  </si>
  <si>
    <t>Mt. Province</t>
  </si>
  <si>
    <t>CAR-07</t>
  </si>
  <si>
    <t>Community-based Learning Center</t>
  </si>
  <si>
    <t>Class18</t>
  </si>
  <si>
    <t>Tabuk City</t>
  </si>
  <si>
    <t>CAR-08</t>
  </si>
  <si>
    <t>Caloocan City</t>
  </si>
  <si>
    <t>NCR-01</t>
  </si>
  <si>
    <t>Las Pinas City</t>
  </si>
  <si>
    <t>NCR-02</t>
  </si>
  <si>
    <t>Makati City</t>
  </si>
  <si>
    <t>NCR-03</t>
  </si>
  <si>
    <t>Malabon City</t>
  </si>
  <si>
    <t>NCR-04</t>
  </si>
  <si>
    <t>Mandaluyong City</t>
  </si>
  <si>
    <t>NCR-05</t>
  </si>
  <si>
    <t>Manila</t>
  </si>
  <si>
    <t>NCR-06</t>
  </si>
  <si>
    <t>Marikina City</t>
  </si>
  <si>
    <t>NCR-07</t>
  </si>
  <si>
    <t>Muntinlupa City</t>
  </si>
  <si>
    <t>NCR-08</t>
  </si>
  <si>
    <t>Navotas City</t>
  </si>
  <si>
    <t>NCR-09</t>
  </si>
  <si>
    <t>Paranaque City</t>
  </si>
  <si>
    <t>NCR-10</t>
  </si>
  <si>
    <t>Pasay City</t>
  </si>
  <si>
    <t>NCR-11</t>
  </si>
  <si>
    <t>Pasig City</t>
  </si>
  <si>
    <t>NCR-12</t>
  </si>
  <si>
    <t>Quezon City</t>
  </si>
  <si>
    <t>NCR-13</t>
  </si>
  <si>
    <t>San Juan City</t>
  </si>
  <si>
    <t>NCR-14</t>
  </si>
  <si>
    <t>Taguig City-Pateros</t>
  </si>
  <si>
    <t>NCR-15</t>
  </si>
  <si>
    <t>Valenzuela City</t>
  </si>
  <si>
    <t>NCR-16</t>
  </si>
  <si>
    <t>Region I</t>
  </si>
  <si>
    <t>Alaminos City</t>
  </si>
  <si>
    <t>REG1-01</t>
  </si>
  <si>
    <t>Batac City</t>
  </si>
  <si>
    <t>REG1-02</t>
  </si>
  <si>
    <t>Candon City</t>
  </si>
  <si>
    <t>REG1-03</t>
  </si>
  <si>
    <t>Dagupan City</t>
  </si>
  <si>
    <t>REG1-04</t>
  </si>
  <si>
    <t>Ilocos Norte</t>
  </si>
  <si>
    <t>REG1-05</t>
  </si>
  <si>
    <t>Ilocos Sur</t>
  </si>
  <si>
    <t>REG1-06</t>
  </si>
  <si>
    <t>La Union</t>
  </si>
  <si>
    <t>REG1-07</t>
  </si>
  <si>
    <t>Laoag City</t>
  </si>
  <si>
    <t>REG1-08</t>
  </si>
  <si>
    <t>Pangasinan I</t>
  </si>
  <si>
    <t>REG1-09</t>
  </si>
  <si>
    <t>Pangasinan II</t>
  </si>
  <si>
    <t>REG1-10</t>
  </si>
  <si>
    <t>San Carlos City</t>
  </si>
  <si>
    <t>REG1-11</t>
  </si>
  <si>
    <t>San Fernando City</t>
  </si>
  <si>
    <t>REG1-12</t>
  </si>
  <si>
    <t>Urdaneta City</t>
  </si>
  <si>
    <t>REG1-13</t>
  </si>
  <si>
    <t>Vigan City</t>
  </si>
  <si>
    <t>REG1-14</t>
  </si>
  <si>
    <t>Region II</t>
  </si>
  <si>
    <t>Batanes</t>
  </si>
  <si>
    <t>REG2-01</t>
  </si>
  <si>
    <t>Cagayan</t>
  </si>
  <si>
    <t>REG2-02</t>
  </si>
  <si>
    <t>Cauayan City</t>
  </si>
  <si>
    <t>REG2-03</t>
  </si>
  <si>
    <t>Ilagan City</t>
  </si>
  <si>
    <t>REG2-04</t>
  </si>
  <si>
    <t>Isabela Province</t>
  </si>
  <si>
    <t>REG2-05</t>
  </si>
  <si>
    <t>Nueva Vizcaya</t>
  </si>
  <si>
    <t>REG2-06</t>
  </si>
  <si>
    <t>Quirino</t>
  </si>
  <si>
    <t>REG2-07</t>
  </si>
  <si>
    <t>Santiago City</t>
  </si>
  <si>
    <t>REG2-08</t>
  </si>
  <si>
    <t>Tuguegarao City</t>
  </si>
  <si>
    <t>REG2-09</t>
  </si>
  <si>
    <t>Region III</t>
  </si>
  <si>
    <t>Angeles City</t>
  </si>
  <si>
    <t>REG3-01</t>
  </si>
  <si>
    <t>Aurora</t>
  </si>
  <si>
    <t>REG3-02</t>
  </si>
  <si>
    <t>Balanga City</t>
  </si>
  <si>
    <t>REG3-03</t>
  </si>
  <si>
    <t>Baliwag City</t>
  </si>
  <si>
    <t>REG3-21</t>
  </si>
  <si>
    <t>Bataan</t>
  </si>
  <si>
    <t>REG3-04</t>
  </si>
  <si>
    <t>Bulacan Province</t>
  </si>
  <si>
    <t>REG3-05</t>
  </si>
  <si>
    <t>Cabanatuan City</t>
  </si>
  <si>
    <t>REG3-06</t>
  </si>
  <si>
    <t>Gapan City</t>
  </si>
  <si>
    <t>REG3-07</t>
  </si>
  <si>
    <t>Mabalacat City</t>
  </si>
  <si>
    <t>REG3-08</t>
  </si>
  <si>
    <t>Malolos City</t>
  </si>
  <si>
    <t>REG3-09</t>
  </si>
  <si>
    <t>Meycauayan</t>
  </si>
  <si>
    <t>REG3-10</t>
  </si>
  <si>
    <t>Nueva Ecija</t>
  </si>
  <si>
    <t>REG3-11</t>
  </si>
  <si>
    <t>Olongapo City</t>
  </si>
  <si>
    <t>REG3-12</t>
  </si>
  <si>
    <t>Pampanga</t>
  </si>
  <si>
    <t>REG3-13</t>
  </si>
  <si>
    <t>REG3-14</t>
  </si>
  <si>
    <t>San Jose City</t>
  </si>
  <si>
    <t>REG3-15</t>
  </si>
  <si>
    <t>San Jose del Monte</t>
  </si>
  <si>
    <t>REG3-16</t>
  </si>
  <si>
    <t>Science City of Munoz</t>
  </si>
  <si>
    <t>REG3-17</t>
  </si>
  <si>
    <t>Tarlac City</t>
  </si>
  <si>
    <t>REG3-18</t>
  </si>
  <si>
    <t>Tarlac Province</t>
  </si>
  <si>
    <t>REG3-19</t>
  </si>
  <si>
    <t>Zambales</t>
  </si>
  <si>
    <t>REG3-20</t>
  </si>
  <si>
    <t>Region IV-A</t>
  </si>
  <si>
    <t>Antipolo City</t>
  </si>
  <si>
    <t>REG4A-01</t>
  </si>
  <si>
    <t>Bacoor City</t>
  </si>
  <si>
    <t>REG4A-02</t>
  </si>
  <si>
    <t>Batangas City</t>
  </si>
  <si>
    <t>REG4A-03</t>
  </si>
  <si>
    <t>Batangas Province</t>
  </si>
  <si>
    <t>REG4A-04</t>
  </si>
  <si>
    <t>Binan City</t>
  </si>
  <si>
    <t>REG4A-05</t>
  </si>
  <si>
    <t>Cabuyao City</t>
  </si>
  <si>
    <t>REG4A-06</t>
  </si>
  <si>
    <t>Calamba City</t>
  </si>
  <si>
    <t>REG4A-07</t>
  </si>
  <si>
    <t>Cavite City</t>
  </si>
  <si>
    <t>REG4A-08</t>
  </si>
  <si>
    <t>Cavite Province</t>
  </si>
  <si>
    <t>REG4A-09</t>
  </si>
  <si>
    <t>Dasmarinas City</t>
  </si>
  <si>
    <t>REG4A-10</t>
  </si>
  <si>
    <t>General Trias City</t>
  </si>
  <si>
    <t>REG4A-11</t>
  </si>
  <si>
    <t>Imus City</t>
  </si>
  <si>
    <t>REG4A-12</t>
  </si>
  <si>
    <t>Laguna</t>
  </si>
  <si>
    <t>REG4A-13</t>
  </si>
  <si>
    <t>Lipa City</t>
  </si>
  <si>
    <t>REG4A-14</t>
  </si>
  <si>
    <t>Lucena City</t>
  </si>
  <si>
    <t>REG4A-15</t>
  </si>
  <si>
    <t>Quezon Province</t>
  </si>
  <si>
    <t>REG4A-16</t>
  </si>
  <si>
    <t>Rizal</t>
  </si>
  <si>
    <t>REG4A-17</t>
  </si>
  <si>
    <t>San Pablo City</t>
  </si>
  <si>
    <t>REG4A-18</t>
  </si>
  <si>
    <t>San Pedro</t>
  </si>
  <si>
    <t>REG4A-22</t>
  </si>
  <si>
    <t>Sta. Rosa City</t>
  </si>
  <si>
    <t>REG4A-19</t>
  </si>
  <si>
    <t>Tanauan City</t>
  </si>
  <si>
    <t>REG4A-20</t>
  </si>
  <si>
    <t>Tayabas City</t>
  </si>
  <si>
    <t>REG4A-21</t>
  </si>
  <si>
    <t>Sto. Tomas City</t>
  </si>
  <si>
    <t>REG4A-23</t>
  </si>
  <si>
    <t>Region IV-B</t>
  </si>
  <si>
    <t>Calapan City</t>
  </si>
  <si>
    <t>REG4B-01</t>
  </si>
  <si>
    <t>Marinduque</t>
  </si>
  <si>
    <t>REG4B-02</t>
  </si>
  <si>
    <t>Occidental Mindoro</t>
  </si>
  <si>
    <t>REG4B-03</t>
  </si>
  <si>
    <t>Oriental Mindoro</t>
  </si>
  <si>
    <t>REG4B-04</t>
  </si>
  <si>
    <t>Palawan</t>
  </si>
  <si>
    <t>REG4B-05</t>
  </si>
  <si>
    <t>Puerto Princesa</t>
  </si>
  <si>
    <t>REG4B-06</t>
  </si>
  <si>
    <t>Romblon</t>
  </si>
  <si>
    <t>REG4B-07</t>
  </si>
  <si>
    <t>Region V</t>
  </si>
  <si>
    <t>Albay</t>
  </si>
  <si>
    <t>REG5-01</t>
  </si>
  <si>
    <t>Camarines Norte</t>
  </si>
  <si>
    <t>REG5-02</t>
  </si>
  <si>
    <t>Camarines Sur</t>
  </si>
  <si>
    <t>REG5-03</t>
  </si>
  <si>
    <t>Catanduanes</t>
  </si>
  <si>
    <t>REG5-04</t>
  </si>
  <si>
    <t>Iriga City</t>
  </si>
  <si>
    <t>REG5-05</t>
  </si>
  <si>
    <t>Legazpi City</t>
  </si>
  <si>
    <t>REG5-06</t>
  </si>
  <si>
    <t>Ligao City</t>
  </si>
  <si>
    <t>REG5-07</t>
  </si>
  <si>
    <t>Masbate Province</t>
  </si>
  <si>
    <t>REG5-08</t>
  </si>
  <si>
    <t>Masbate City</t>
  </si>
  <si>
    <t>REG5-09</t>
  </si>
  <si>
    <t>Naga City</t>
  </si>
  <si>
    <t>REG5-10</t>
  </si>
  <si>
    <t>Sorsogon City</t>
  </si>
  <si>
    <t>REG5-11</t>
  </si>
  <si>
    <t>Sorsogon Province</t>
  </si>
  <si>
    <t>REG5-12</t>
  </si>
  <si>
    <t>Tabaco City</t>
  </si>
  <si>
    <t>REG5-13</t>
  </si>
  <si>
    <t>Region VI</t>
  </si>
  <si>
    <t>Aklan</t>
  </si>
  <si>
    <t>REG6-01</t>
  </si>
  <si>
    <t>Antique</t>
  </si>
  <si>
    <t>REG6-02</t>
  </si>
  <si>
    <t>Bacolod City</t>
  </si>
  <si>
    <t>Bago City</t>
  </si>
  <si>
    <t>Cadiz City</t>
  </si>
  <si>
    <t>Capiz</t>
  </si>
  <si>
    <t>REG6-06</t>
  </si>
  <si>
    <t>Escalante City</t>
  </si>
  <si>
    <t>Guimaras</t>
  </si>
  <si>
    <t>REG6-08</t>
  </si>
  <si>
    <t>Himamaylan City</t>
  </si>
  <si>
    <t>REG6-09</t>
  </si>
  <si>
    <t>Iloilo City</t>
  </si>
  <si>
    <t>REG6-10</t>
  </si>
  <si>
    <t>Kabankalan City</t>
  </si>
  <si>
    <t>La Carlota City</t>
  </si>
  <si>
    <t>Negros Occidental</t>
  </si>
  <si>
    <t>Passi City</t>
  </si>
  <si>
    <t>REG6-15</t>
  </si>
  <si>
    <t>Roxas City</t>
  </si>
  <si>
    <t>REG6-16</t>
  </si>
  <si>
    <t>Sagay City</t>
  </si>
  <si>
    <t>Silay City</t>
  </si>
  <si>
    <t>Sipalay City</t>
  </si>
  <si>
    <t>Victorias City</t>
  </si>
  <si>
    <t>Region VII</t>
  </si>
  <si>
    <t>Bais City</t>
  </si>
  <si>
    <t>REG7-01</t>
  </si>
  <si>
    <t>Bayawan City</t>
  </si>
  <si>
    <t>REG7-02</t>
  </si>
  <si>
    <t>Bogo City</t>
  </si>
  <si>
    <t>REG7-03</t>
  </si>
  <si>
    <t>Bohol</t>
  </si>
  <si>
    <t>REG7-04</t>
  </si>
  <si>
    <t>Carcar City</t>
  </si>
  <si>
    <t>REG7-05</t>
  </si>
  <si>
    <t>Cebu City</t>
  </si>
  <si>
    <t>REG7-06</t>
  </si>
  <si>
    <t>Cebu Province</t>
  </si>
  <si>
    <t>REG7-07</t>
  </si>
  <si>
    <t>Danao</t>
  </si>
  <si>
    <t>REG7-08</t>
  </si>
  <si>
    <t>Dumaguete City</t>
  </si>
  <si>
    <t>REG7-09</t>
  </si>
  <si>
    <t>Guihulngan City</t>
  </si>
  <si>
    <t>REG7-10</t>
  </si>
  <si>
    <t xml:space="preserve">Lapu-Lapu City </t>
  </si>
  <si>
    <t>REG7-11</t>
  </si>
  <si>
    <t>Mandaue City</t>
  </si>
  <si>
    <t>REG7-12</t>
  </si>
  <si>
    <t>REG7-13</t>
  </si>
  <si>
    <t>Negros Oriental</t>
  </si>
  <si>
    <t>REG7-14</t>
  </si>
  <si>
    <t>Siquijor</t>
  </si>
  <si>
    <t>REG7-15</t>
  </si>
  <si>
    <t>Tagbilaran City</t>
  </si>
  <si>
    <t>REG7-16</t>
  </si>
  <si>
    <t>Talisay City</t>
  </si>
  <si>
    <t>REG7-17</t>
  </si>
  <si>
    <t>Tanjay City</t>
  </si>
  <si>
    <t>REG7-18</t>
  </si>
  <si>
    <t>Toledo City</t>
  </si>
  <si>
    <t>REG7-19</t>
  </si>
  <si>
    <t>Canlaon City</t>
  </si>
  <si>
    <t>REG7-20</t>
  </si>
  <si>
    <t>Region VIII</t>
  </si>
  <si>
    <t>Baybay City</t>
  </si>
  <si>
    <t>REG8-01</t>
  </si>
  <si>
    <t>Biliran</t>
  </si>
  <si>
    <t>REG8-02</t>
  </si>
  <si>
    <t>Borongan City</t>
  </si>
  <si>
    <t>REG8-03</t>
  </si>
  <si>
    <t>Calbayog City</t>
  </si>
  <si>
    <t>REG8-04</t>
  </si>
  <si>
    <t>Catbalogan City</t>
  </si>
  <si>
    <t>REG8-05</t>
  </si>
  <si>
    <t>Eastern Samar</t>
  </si>
  <si>
    <t>REG8-06</t>
  </si>
  <si>
    <t>Leyte</t>
  </si>
  <si>
    <t>REG8-07</t>
  </si>
  <si>
    <t>Maasin City</t>
  </si>
  <si>
    <t>REG8-08</t>
  </si>
  <si>
    <t>Northern Samar</t>
  </si>
  <si>
    <t>REG8-09</t>
  </si>
  <si>
    <t>Ormoc City</t>
  </si>
  <si>
    <t>REG8-10</t>
  </si>
  <si>
    <t>Southern Leyte</t>
  </si>
  <si>
    <t>REG8-11</t>
  </si>
  <si>
    <t>Tacloban City</t>
  </si>
  <si>
    <t>REG8-12</t>
  </si>
  <si>
    <t>Western Samar</t>
  </si>
  <si>
    <t>REG8-13</t>
  </si>
  <si>
    <t>Region IX</t>
  </si>
  <si>
    <t>Dapitan City</t>
  </si>
  <si>
    <t>REG9-01</t>
  </si>
  <si>
    <t>Dipolog City</t>
  </si>
  <si>
    <t>REG9-02</t>
  </si>
  <si>
    <t>Isabela City</t>
  </si>
  <si>
    <t>REG9-03</t>
  </si>
  <si>
    <t>Pagadian City</t>
  </si>
  <si>
    <t>REG9-04</t>
  </si>
  <si>
    <t>Zamboanga City</t>
  </si>
  <si>
    <t>REG9-05</t>
  </si>
  <si>
    <t>Zamboanga del Norte</t>
  </si>
  <si>
    <t>REG9-06</t>
  </si>
  <si>
    <t>Zamboanga del Sur</t>
  </si>
  <si>
    <t>REG9-07</t>
  </si>
  <si>
    <t>Zamboanga Sibugay</t>
  </si>
  <si>
    <t>REG9-08</t>
  </si>
  <si>
    <t>Region X</t>
  </si>
  <si>
    <t>Bukidnon</t>
  </si>
  <si>
    <t>REG10-01</t>
  </si>
  <si>
    <t>Cagayan de Oro City</t>
  </si>
  <si>
    <t>REG10-02</t>
  </si>
  <si>
    <t>Camiguin</t>
  </si>
  <si>
    <t>REG10-03</t>
  </si>
  <si>
    <t>El Salvador City</t>
  </si>
  <si>
    <t>REG10-04</t>
  </si>
  <si>
    <t>Gingoog City</t>
  </si>
  <si>
    <t>REG10-05</t>
  </si>
  <si>
    <t>Iligan City</t>
  </si>
  <si>
    <t>REG10-06</t>
  </si>
  <si>
    <t>Lanao Del Norte</t>
  </si>
  <si>
    <t>REG10-07</t>
  </si>
  <si>
    <t>Malaybalay City</t>
  </si>
  <si>
    <t>REG10-08</t>
  </si>
  <si>
    <t>Misamis Occidental</t>
  </si>
  <si>
    <t>REG10-09</t>
  </si>
  <si>
    <t>Misamis Oriental</t>
  </si>
  <si>
    <t>REG10-10</t>
  </si>
  <si>
    <t>Oroquieta City</t>
  </si>
  <si>
    <t>REG10-11</t>
  </si>
  <si>
    <t>Ozamiz City</t>
  </si>
  <si>
    <t>REG10-12</t>
  </si>
  <si>
    <t>Tangub City</t>
  </si>
  <si>
    <t>REG10-13</t>
  </si>
  <si>
    <t>Valencia City</t>
  </si>
  <si>
    <t>REG10-14</t>
  </si>
  <si>
    <t>Region XI</t>
  </si>
  <si>
    <t>Davao de Oro (Compostela Valley)</t>
  </si>
  <si>
    <t>REG11-01</t>
  </si>
  <si>
    <t>Davao City</t>
  </si>
  <si>
    <t>REG11-02</t>
  </si>
  <si>
    <t>Davao del Norte</t>
  </si>
  <si>
    <t>REG11-03</t>
  </si>
  <si>
    <t>Davao del Sur</t>
  </si>
  <si>
    <t>REG11-04</t>
  </si>
  <si>
    <t>Davao Occidental</t>
  </si>
  <si>
    <t>REG11-05</t>
  </si>
  <si>
    <t>Davao Oriental</t>
  </si>
  <si>
    <t>REG11-06</t>
  </si>
  <si>
    <t>Digos city</t>
  </si>
  <si>
    <t>REG11-07</t>
  </si>
  <si>
    <t>Mati City</t>
  </si>
  <si>
    <t>REG11-08</t>
  </si>
  <si>
    <t>Panabo City</t>
  </si>
  <si>
    <t>REG11-09</t>
  </si>
  <si>
    <t>Samal City</t>
  </si>
  <si>
    <t>REG11-10</t>
  </si>
  <si>
    <t>Tagum City</t>
  </si>
  <si>
    <t>REG11-11</t>
  </si>
  <si>
    <t>Region XII</t>
  </si>
  <si>
    <t>Cotabato Province</t>
  </si>
  <si>
    <t>REG12-02</t>
  </si>
  <si>
    <t>General Santos City</t>
  </si>
  <si>
    <t>REG12-03</t>
  </si>
  <si>
    <t>Kidapawan City</t>
  </si>
  <si>
    <t>REG12-04</t>
  </si>
  <si>
    <t>Koronadal City</t>
  </si>
  <si>
    <t>REG12-05</t>
  </si>
  <si>
    <t>Sarangani</t>
  </si>
  <si>
    <t>REG12-06</t>
  </si>
  <si>
    <t>South Cotabato</t>
  </si>
  <si>
    <t>REG12-07</t>
  </si>
  <si>
    <t>Sultan Kudarat</t>
  </si>
  <si>
    <t>REG12-08</t>
  </si>
  <si>
    <t>Tacurong City</t>
  </si>
  <si>
    <t>REG12-09</t>
  </si>
  <si>
    <t>Agusan del Norte</t>
  </si>
  <si>
    <t>REG13-01</t>
  </si>
  <si>
    <t>Agusan del Sur</t>
  </si>
  <si>
    <t>REG13-02</t>
  </si>
  <si>
    <t>Bayugan City</t>
  </si>
  <si>
    <t>REG13-03</t>
  </si>
  <si>
    <t>Bislig City</t>
  </si>
  <si>
    <t>REG13-04</t>
  </si>
  <si>
    <t>Butuan City</t>
  </si>
  <si>
    <t>REG13-05</t>
  </si>
  <si>
    <t>Cabadbaran City</t>
  </si>
  <si>
    <t>REG13-06</t>
  </si>
  <si>
    <t>Dinagat Islands</t>
  </si>
  <si>
    <t>REG13-07</t>
  </si>
  <si>
    <t>Siargao</t>
  </si>
  <si>
    <t>REG13-08</t>
  </si>
  <si>
    <t>Surigao City</t>
  </si>
  <si>
    <t>REG13-09</t>
  </si>
  <si>
    <t>Surigao del Norte</t>
  </si>
  <si>
    <t>REG13-10</t>
  </si>
  <si>
    <t>Surigao del Sur</t>
  </si>
  <si>
    <t>REG13-11</t>
  </si>
  <si>
    <t>Tandag City</t>
  </si>
  <si>
    <t>REG13-12</t>
  </si>
  <si>
    <t>HP_COT</t>
  </si>
  <si>
    <t>RPMS 5-pt scale</t>
  </si>
  <si>
    <t>P_COT</t>
  </si>
  <si>
    <t>rating</t>
  </si>
  <si>
    <t>description</t>
  </si>
  <si>
    <t>5-PT Scale</t>
  </si>
  <si>
    <t>School Type</t>
  </si>
  <si>
    <t>School Size</t>
  </si>
  <si>
    <t>classification</t>
  </si>
  <si>
    <t>level taught</t>
  </si>
  <si>
    <t>grade level</t>
  </si>
  <si>
    <t>position</t>
  </si>
  <si>
    <t>age</t>
  </si>
  <si>
    <t>Sex</t>
  </si>
  <si>
    <t>Employment Status</t>
  </si>
  <si>
    <t>Total Number of Years in Teaching</t>
  </si>
  <si>
    <t>Specialization</t>
  </si>
  <si>
    <t>Highest Degree Obtained</t>
  </si>
  <si>
    <t>subjects</t>
  </si>
  <si>
    <t>raters</t>
  </si>
  <si>
    <t>career_stage</t>
  </si>
  <si>
    <t>level_code</t>
  </si>
  <si>
    <t>teacher_type</t>
  </si>
  <si>
    <t>type_code</t>
  </si>
  <si>
    <t>objective_type</t>
  </si>
  <si>
    <t>sy_end year when lowest rating is applied to Q when COT is incomplete</t>
  </si>
  <si>
    <t>Urban</t>
  </si>
  <si>
    <t>Small</t>
  </si>
  <si>
    <t>kinder_list</t>
  </si>
  <si>
    <t>Teacher I</t>
  </si>
  <si>
    <t>Under 25 years old</t>
  </si>
  <si>
    <t>Male</t>
  </si>
  <si>
    <t>Regular Permanent</t>
  </si>
  <si>
    <t>0-3 years</t>
  </si>
  <si>
    <t>English</t>
  </si>
  <si>
    <t>Bachelor's Degree</t>
  </si>
  <si>
    <t>All Subjects</t>
  </si>
  <si>
    <t>Schools Division Superintendent</t>
  </si>
  <si>
    <t>Beginning towards Proficient</t>
  </si>
  <si>
    <t>BtP</t>
  </si>
  <si>
    <t>Regular Teacher</t>
  </si>
  <si>
    <t>R</t>
  </si>
  <si>
    <t>COI</t>
  </si>
  <si>
    <t>Rural</t>
  </si>
  <si>
    <t>Medium</t>
  </si>
  <si>
    <t>elemgrade_list</t>
  </si>
  <si>
    <t>Grade 1</t>
  </si>
  <si>
    <t>Teacher II</t>
  </si>
  <si>
    <t>25-30</t>
  </si>
  <si>
    <t>Female</t>
  </si>
  <si>
    <t>Provisional</t>
  </si>
  <si>
    <t>4-10 years</t>
  </si>
  <si>
    <t>Filipino</t>
  </si>
  <si>
    <t>Master's Degree</t>
  </si>
  <si>
    <t>MTB-MLE</t>
  </si>
  <si>
    <t>Assistant Schools Division Superintendent</t>
  </si>
  <si>
    <t>Proficient</t>
  </si>
  <si>
    <t>P</t>
  </si>
  <si>
    <t>Full-time Teacher Broadcaster</t>
  </si>
  <si>
    <t>TB</t>
  </si>
  <si>
    <t>NCOI</t>
  </si>
  <si>
    <t>Large</t>
  </si>
  <si>
    <t>jhsgrade_list</t>
  </si>
  <si>
    <t>Grade 2</t>
  </si>
  <si>
    <t>Teacher III</t>
  </si>
  <si>
    <t>31-35</t>
  </si>
  <si>
    <t>Substitute</t>
  </si>
  <si>
    <t>More than 10 years</t>
  </si>
  <si>
    <t>Mathematics</t>
  </si>
  <si>
    <t>Doctorate Degree</t>
  </si>
  <si>
    <t>Madrasah ALIVE</t>
  </si>
  <si>
    <t>CID Chief</t>
  </si>
  <si>
    <t>Highly Proficient</t>
  </si>
  <si>
    <t>HP</t>
  </si>
  <si>
    <t>lowest rating if not met</t>
  </si>
  <si>
    <t>Very Large</t>
  </si>
  <si>
    <t>shsgrade_list</t>
  </si>
  <si>
    <t>Grade 3</t>
  </si>
  <si>
    <t>Teacher IV</t>
  </si>
  <si>
    <t>36-40</t>
  </si>
  <si>
    <t>Contractual</t>
  </si>
  <si>
    <t>General Science</t>
  </si>
  <si>
    <t>Education Program Supervisor</t>
  </si>
  <si>
    <t>Distinguished</t>
  </si>
  <si>
    <t>D</t>
  </si>
  <si>
    <t>Grade 4</t>
  </si>
  <si>
    <t>Teacher V</t>
  </si>
  <si>
    <t>41-45</t>
  </si>
  <si>
    <t>Biology</t>
  </si>
  <si>
    <t>Education Program Specialist II</t>
  </si>
  <si>
    <t>indicator_type</t>
  </si>
  <si>
    <t>Grade 5</t>
  </si>
  <si>
    <t>Teacher VI</t>
  </si>
  <si>
    <t>46-50</t>
  </si>
  <si>
    <t>Chemistry</t>
  </si>
  <si>
    <t>Public Schools District Supervisor</t>
  </si>
  <si>
    <t>Grade 6</t>
  </si>
  <si>
    <t>Teacher VII</t>
  </si>
  <si>
    <t>51-55</t>
  </si>
  <si>
    <t>Physics</t>
  </si>
  <si>
    <t>Science</t>
  </si>
  <si>
    <t>Principal IV</t>
  </si>
  <si>
    <t>SPED</t>
  </si>
  <si>
    <t>Master Teacher I</t>
  </si>
  <si>
    <t>Over 55 years old</t>
  </si>
  <si>
    <t>Social Science</t>
  </si>
  <si>
    <t>Araling Panlipunan</t>
  </si>
  <si>
    <t>Principal III</t>
  </si>
  <si>
    <t>COI/NCOI</t>
  </si>
  <si>
    <t>Multigrade</t>
  </si>
  <si>
    <t>Master Teacher II</t>
  </si>
  <si>
    <t>Early Childhood Education</t>
  </si>
  <si>
    <t>Edukasyon sa Pagpapakatao</t>
  </si>
  <si>
    <t>Principal II</t>
  </si>
  <si>
    <t>Grade 7</t>
  </si>
  <si>
    <t>Master Teacher III</t>
  </si>
  <si>
    <t>Values Education</t>
  </si>
  <si>
    <t>MAPEH</t>
  </si>
  <si>
    <t>Principal I</t>
  </si>
  <si>
    <t>Grade 8</t>
  </si>
  <si>
    <t>Master Teacher IV</t>
  </si>
  <si>
    <t>Music</t>
  </si>
  <si>
    <t>Assistant School Principal I</t>
  </si>
  <si>
    <t>Grade 9</t>
  </si>
  <si>
    <t>Arts</t>
  </si>
  <si>
    <t>Assistant School Principal II</t>
  </si>
  <si>
    <t>Grade 10</t>
  </si>
  <si>
    <t>Physical Education</t>
  </si>
  <si>
    <t>Special School Principal I</t>
  </si>
  <si>
    <t>Grade 11</t>
  </si>
  <si>
    <t>Health</t>
  </si>
  <si>
    <t>Special School Principal II</t>
  </si>
  <si>
    <t>Grade 12</t>
  </si>
  <si>
    <t>TLE/EPP-HE</t>
  </si>
  <si>
    <t>Vocational School Administrator I</t>
  </si>
  <si>
    <t>TLE/HE/TVL</t>
  </si>
  <si>
    <t>TLE/EPP-LE/Tech-Voc</t>
  </si>
  <si>
    <t>Vocational School Administrator II</t>
  </si>
  <si>
    <t>ALS</t>
  </si>
  <si>
    <t>Head Teacher VI</t>
  </si>
  <si>
    <t>IPED</t>
  </si>
  <si>
    <t>Head Teacher V</t>
  </si>
  <si>
    <t>Special Programs</t>
  </si>
  <si>
    <t>Head Teacher IV</t>
  </si>
  <si>
    <t>Head Teacher III</t>
  </si>
  <si>
    <t>No Classroom Observation (invalid reason)</t>
  </si>
  <si>
    <t>Head Teacher II</t>
  </si>
  <si>
    <t>ACAD-ABM</t>
  </si>
  <si>
    <t>Head Teacher I</t>
  </si>
  <si>
    <t>ACAD-HUMSS</t>
  </si>
  <si>
    <t>ACAD-STEM</t>
  </si>
  <si>
    <t>ACAD-General Academic</t>
  </si>
  <si>
    <t>ACAD-Pre-Baccalaureate Maritime</t>
  </si>
  <si>
    <t>TVL-Agri-Fishery</t>
  </si>
  <si>
    <t>Officer-in-Charge</t>
  </si>
  <si>
    <t>TVL-HE</t>
  </si>
  <si>
    <t>Teacher-in-Charge</t>
  </si>
  <si>
    <t>TVL-ICT</t>
  </si>
  <si>
    <t>TVL-Industrial Arts</t>
  </si>
  <si>
    <t>TVL-Maritime</t>
  </si>
  <si>
    <t>Sports</t>
  </si>
  <si>
    <t>Arts and Design</t>
  </si>
  <si>
    <t>BtP_COT</t>
  </si>
  <si>
    <t>D_COT</t>
  </si>
  <si>
    <t>CHECK DROPDOWN OPTIONS</t>
  </si>
  <si>
    <t>regions_list</t>
  </si>
  <si>
    <t>_divlist</t>
  </si>
  <si>
    <t>SCHOOL INFORMATION</t>
  </si>
  <si>
    <t>DEMOGRAPHIC PROFILE</t>
  </si>
  <si>
    <t>school_type_list</t>
  </si>
  <si>
    <t>school_size_list</t>
  </si>
  <si>
    <t>Region:</t>
  </si>
  <si>
    <t>*</t>
  </si>
  <si>
    <t>Last Name:</t>
  </si>
  <si>
    <t>Number of Years in Teaching:</t>
  </si>
  <si>
    <t>curricular_classification_list</t>
  </si>
  <si>
    <t>Division:</t>
  </si>
  <si>
    <t>First Name:</t>
  </si>
  <si>
    <t>Highest Degree Obtained:</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</si>
  <si>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ID:</t>
    </r>
  </si>
  <si>
    <t>Middle Name:</t>
  </si>
  <si>
    <t>emp_status_list</t>
  </si>
  <si>
    <t>CLC / School Name:</t>
  </si>
  <si>
    <t>Employee ID:</t>
  </si>
  <si>
    <t>Level Taught:</t>
  </si>
  <si>
    <t>age_list</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</si>
  <si>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Type:</t>
    </r>
  </si>
  <si>
    <t>DepEd Email Address:</t>
  </si>
  <si>
    <t>sex_list</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</si>
  <si>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Size:</t>
    </r>
  </si>
  <si>
    <t>Employment Status:</t>
  </si>
  <si>
    <t>TIN:</t>
  </si>
  <si>
    <t>years_in_teaching</t>
  </si>
  <si>
    <t>Curricular Classification:</t>
  </si>
  <si>
    <t>Age:</t>
  </si>
  <si>
    <t>degree_list</t>
  </si>
  <si>
    <t>Sex:</t>
  </si>
  <si>
    <r>
      <rPr>
        <b/>
        <i/>
        <sz val="11"/>
        <color rgb="FFC00000"/>
        <rFont val="Arial"/>
        <family val="2"/>
      </rPr>
      <t>•</t>
    </r>
    <r>
      <rPr>
        <i/>
        <sz val="11"/>
        <color rgb="FFC00000"/>
        <rFont val="Arial"/>
        <family val="2"/>
      </rPr>
      <t xml:space="preserve"> For ALS, select </t>
    </r>
    <r>
      <rPr>
        <b/>
        <i/>
        <sz val="11"/>
        <color rgb="FFC00000"/>
        <rFont val="Arial"/>
        <family val="2"/>
      </rPr>
      <t>Community-based Learning Center</t>
    </r>
    <r>
      <rPr>
        <i/>
        <sz val="11"/>
        <color rgb="FFC00000"/>
        <rFont val="Arial"/>
        <family val="2"/>
      </rPr>
      <t xml:space="preserve"> in the </t>
    </r>
    <r>
      <rPr>
        <b/>
        <i/>
        <sz val="11"/>
        <color rgb="FFC00000"/>
        <rFont val="Arial"/>
        <family val="2"/>
      </rPr>
      <t>Curricular Classification</t>
    </r>
    <r>
      <rPr>
        <i/>
        <sz val="11"/>
        <color rgb="FFC00000"/>
        <rFont val="Arial"/>
        <family val="2"/>
      </rPr>
      <t xml:space="preserve"> field and leave optional school data fields blank (school ID, type, size) if the CLC is non-school-based.</t>
    </r>
  </si>
  <si>
    <r>
      <rPr>
        <b/>
        <i/>
        <sz val="11"/>
        <color rgb="FFC00000"/>
        <rFont val="Arial"/>
        <family val="2"/>
      </rPr>
      <t>*</t>
    </r>
    <r>
      <rPr>
        <i/>
        <sz val="11"/>
        <color rgb="FFC00000"/>
        <rFont val="Arial"/>
        <family val="2"/>
      </rPr>
      <t xml:space="preserve"> Required</t>
    </r>
  </si>
  <si>
    <r>
      <t>GRADE LEVEL(S) TAUGHT</t>
    </r>
    <r>
      <rPr>
        <b/>
        <sz val="12"/>
        <color rgb="FFFF0000"/>
        <rFont val="Arial"/>
        <family val="2"/>
      </rPr>
      <t>*</t>
    </r>
    <r>
      <rPr>
        <b/>
        <sz val="12"/>
        <color theme="1"/>
        <rFont val="Arial"/>
        <family val="2"/>
      </rPr>
      <t xml:space="preserve">
</t>
    </r>
    <r>
      <rPr>
        <sz val="11"/>
        <color theme="1"/>
        <rFont val="Arial"/>
        <family val="2"/>
      </rPr>
      <t>Please tick all the boxes that apply.</t>
    </r>
  </si>
  <si>
    <r>
      <rPr>
        <sz val="12"/>
        <color theme="1"/>
        <rFont val="Arial"/>
        <family val="2"/>
      </rPr>
      <t xml:space="preserve">Multigrade </t>
    </r>
    <r>
      <rPr>
        <sz val="10"/>
        <color theme="1"/>
        <rFont val="Arial"/>
        <family val="2"/>
      </rPr>
      <t>(2 or more grade levels in a class)</t>
    </r>
  </si>
  <si>
    <t xml:space="preserve">   (if multigrade, select two or more grades)</t>
  </si>
  <si>
    <r>
      <t>AREA(S) OF SPECIALIZATION</t>
    </r>
    <r>
      <rPr>
        <b/>
        <sz val="12"/>
        <color rgb="FFFF0000"/>
        <rFont val="Arial"/>
        <family val="2"/>
      </rPr>
      <t>*</t>
    </r>
    <r>
      <rPr>
        <b/>
        <sz val="12"/>
        <color theme="1"/>
        <rFont val="Arial"/>
        <family val="2"/>
      </rPr>
      <t xml:space="preserve">
</t>
    </r>
    <r>
      <rPr>
        <sz val="11"/>
        <color theme="1"/>
        <rFont val="Arial"/>
        <family val="2"/>
      </rPr>
      <t>Please tick all the boxes that apply.</t>
    </r>
  </si>
  <si>
    <t>Others (specify)</t>
  </si>
  <si>
    <r>
      <t>SUBJECT(S) TAUGHT</t>
    </r>
    <r>
      <rPr>
        <b/>
        <sz val="12"/>
        <color rgb="FFFF0000"/>
        <rFont val="Arial"/>
        <family val="2"/>
      </rPr>
      <t>*</t>
    </r>
    <r>
      <rPr>
        <b/>
        <sz val="12"/>
        <color theme="1"/>
        <rFont val="Arial"/>
        <family val="2"/>
      </rPr>
      <t xml:space="preserve">
</t>
    </r>
    <r>
      <rPr>
        <sz val="11"/>
        <color theme="1"/>
        <rFont val="Arial"/>
        <family val="2"/>
      </rPr>
      <t>Please tick all the boxes that apply.</t>
    </r>
  </si>
  <si>
    <t>PE and Health</t>
  </si>
  <si>
    <t>Makabansa</t>
  </si>
  <si>
    <t>Languages / Reading and Literacy</t>
  </si>
  <si>
    <t>Science / Physical and Natural Env.</t>
  </si>
  <si>
    <t>GMRC / EsP</t>
  </si>
  <si>
    <t xml:space="preserve">   (i.e. Journalism and Foreign Language)</t>
  </si>
  <si>
    <t>Music and Arts</t>
  </si>
  <si>
    <r>
      <t>STRAND(S) TAUGHT</t>
    </r>
    <r>
      <rPr>
        <b/>
        <sz val="12"/>
        <color rgb="FFFF0000"/>
        <rFont val="Arial"/>
        <family val="2"/>
      </rPr>
      <t>*</t>
    </r>
    <r>
      <rPr>
        <b/>
        <sz val="12"/>
        <color theme="1"/>
        <rFont val="Arial"/>
        <family val="2"/>
      </rPr>
      <t xml:space="preserve">
</t>
    </r>
    <r>
      <rPr>
        <sz val="11"/>
        <color theme="1"/>
        <rFont val="Arial"/>
        <family val="2"/>
      </rPr>
      <t>Please tick all the boxes that apply.</t>
    </r>
  </si>
  <si>
    <t>Arts &amp; Design</t>
  </si>
  <si>
    <t>name_locked</t>
  </si>
  <si>
    <t>save attempt</t>
  </si>
  <si>
    <t>area of specialization</t>
  </si>
  <si>
    <t>subjects taught</t>
  </si>
  <si>
    <t>Grade Level(s) Taught</t>
  </si>
  <si>
    <t>Area(s) of Specialization</t>
  </si>
  <si>
    <t>Subject(s) Taught</t>
  </si>
  <si>
    <t>Strands Taught</t>
  </si>
  <si>
    <t>Science / Physical and Natural Environment</t>
  </si>
  <si>
    <t>grades taught</t>
  </si>
  <si>
    <t>strands taught</t>
  </si>
  <si>
    <t>validation helpers for conditional formatting</t>
  </si>
  <si>
    <t>region:</t>
  </si>
  <si>
    <t>last:</t>
  </si>
  <si>
    <t>years experience:</t>
  </si>
  <si>
    <t>division:</t>
  </si>
  <si>
    <t>first:</t>
  </si>
  <si>
    <t>highest degree obtained:</t>
  </si>
  <si>
    <t>municipality:</t>
  </si>
  <si>
    <t>middle:</t>
  </si>
  <si>
    <t>school ID:</t>
  </si>
  <si>
    <t>id:</t>
  </si>
  <si>
    <t>level taught:</t>
  </si>
  <si>
    <t>school name:</t>
  </si>
  <si>
    <t>position:</t>
  </si>
  <si>
    <t>deped email:</t>
  </si>
  <si>
    <t>school type</t>
  </si>
  <si>
    <t>status:</t>
  </si>
  <si>
    <t>school size</t>
  </si>
  <si>
    <t>age:</t>
  </si>
  <si>
    <t>classification:</t>
  </si>
  <si>
    <t>sex:</t>
  </si>
  <si>
    <t>School</t>
  </si>
  <si>
    <t>Ratee</t>
  </si>
  <si>
    <t>School ID:</t>
  </si>
  <si>
    <t>School Type:</t>
  </si>
  <si>
    <t>School Size:</t>
  </si>
  <si>
    <t>DepEd Email:</t>
  </si>
  <si>
    <t>Status:</t>
  </si>
  <si>
    <t>PART 1: INDIVIDUAL PERFORMANCE COMMITMENT AND REVIEW FORM</t>
  </si>
  <si>
    <r>
      <rPr>
        <b/>
        <sz val="12"/>
        <color rgb="FFFF0000"/>
        <rFont val="Arial"/>
        <family val="2"/>
      </rPr>
      <t>*</t>
    </r>
    <r>
      <rPr>
        <b/>
        <sz val="12"/>
        <color theme="1"/>
        <rFont val="Arial"/>
        <family val="2"/>
      </rPr>
      <t xml:space="preserve"> RATER Last Name:</t>
    </r>
  </si>
  <si>
    <r>
      <rPr>
        <b/>
        <sz val="12"/>
        <color rgb="FFFF0000"/>
        <rFont val="Arial"/>
        <family val="2"/>
      </rPr>
      <t>*</t>
    </r>
    <r>
      <rPr>
        <b/>
        <sz val="12"/>
        <color theme="1"/>
        <rFont val="Arial"/>
        <family val="2"/>
      </rPr>
      <t xml:space="preserve"> First:</t>
    </r>
  </si>
  <si>
    <t>Middle:</t>
  </si>
  <si>
    <r>
      <rPr>
        <b/>
        <sz val="12"/>
        <color rgb="FFFF0000"/>
        <rFont val="Arial"/>
        <family val="2"/>
      </rPr>
      <t>*</t>
    </r>
    <r>
      <rPr>
        <b/>
        <sz val="12"/>
        <color theme="1"/>
        <rFont val="Arial"/>
        <family val="2"/>
      </rPr>
      <t xml:space="preserve"> Position:</t>
    </r>
  </si>
  <si>
    <t>Bureau/Center/Service/Division:</t>
  </si>
  <si>
    <r>
      <rPr>
        <b/>
        <sz val="12"/>
        <color rgb="FFFF0000"/>
        <rFont val="Arial"/>
        <family val="2"/>
      </rPr>
      <t>*</t>
    </r>
    <r>
      <rPr>
        <b/>
        <sz val="12"/>
        <color theme="1"/>
        <rFont val="Arial"/>
        <family val="2"/>
      </rPr>
      <t xml:space="preserve"> Date of Review:</t>
    </r>
  </si>
  <si>
    <r>
      <t xml:space="preserve">COI/NCOI
</t>
    </r>
    <r>
      <rPr>
        <sz val="7.5"/>
        <color theme="1"/>
        <rFont val="Arial"/>
        <family val="2"/>
      </rPr>
      <t>*Classroom Observable Indicator / Non-Classroom Observable Indicator</t>
    </r>
  </si>
  <si>
    <t>COT Indicator No.</t>
  </si>
  <si>
    <t>COT 1</t>
  </si>
  <si>
    <t>IPCRF Numerical Ratings</t>
  </si>
  <si>
    <t>Date Observed:</t>
  </si>
  <si>
    <t>Final Rating</t>
  </si>
  <si>
    <t>COT Status:</t>
  </si>
  <si>
    <t>Rater:</t>
  </si>
  <si>
    <t>Approving Authority:</t>
  </si>
  <si>
    <r>
      <rPr>
        <b/>
        <sz val="12"/>
        <color rgb="FFFF0000"/>
        <rFont val="Arial Narrow"/>
        <family val="2"/>
      </rPr>
      <t>*</t>
    </r>
    <r>
      <rPr>
        <b/>
        <sz val="12"/>
        <color theme="1"/>
        <rFont val="Arial Narrow"/>
        <family val="2"/>
      </rPr>
      <t xml:space="preserve"> Last:</t>
    </r>
  </si>
  <si>
    <r>
      <rPr>
        <b/>
        <sz val="12"/>
        <color rgb="FFFF0000"/>
        <rFont val="Arial Narrow"/>
        <family val="2"/>
      </rPr>
      <t>*</t>
    </r>
    <r>
      <rPr>
        <b/>
        <sz val="12"/>
        <color theme="1"/>
        <rFont val="Arial Narrow"/>
        <family val="2"/>
      </rPr>
      <t xml:space="preserve"> First:</t>
    </r>
  </si>
  <si>
    <t>TO BE FILLED OUT DURING EVALUATION</t>
  </si>
  <si>
    <t>Domains</t>
  </si>
  <si>
    <t>Weight per KRA</t>
  </si>
  <si>
    <t>Performance Indicators</t>
  </si>
  <si>
    <t>Actual Results</t>
  </si>
  <si>
    <t>QET</t>
  </si>
  <si>
    <t>ADJECTIVAL RATING EQUIVALENCES</t>
  </si>
  <si>
    <t xml:space="preserve">RANGE </t>
  </si>
  <si>
    <t>ADJECTIVAL RATING</t>
  </si>
  <si>
    <t xml:space="preserve">4.500 – 5.000 </t>
  </si>
  <si>
    <t xml:space="preserve">3.500 – 4.499 </t>
  </si>
  <si>
    <t xml:space="preserve">2.500 – 3.499 </t>
  </si>
  <si>
    <t xml:space="preserve">1.500 – 2.499 </t>
  </si>
  <si>
    <t>below 1.499</t>
  </si>
  <si>
    <t>Rater</t>
  </si>
  <si>
    <t>Approving Authority</t>
  </si>
  <si>
    <t>Demonstrated Level 6 in the PPST Indicator as shown in the COT rating sheet / interobserver agreement form presented</t>
  </si>
  <si>
    <t>Demonstrated Level 5 in the PPST Indicator as shown in COT rating sheet / inter-observer agreement form presented</t>
  </si>
  <si>
    <t>Demonstrated Level 4 in the PPST Indicator as shown in COT rating sheet / interobserver agreement form presented</t>
  </si>
  <si>
    <t>Demonstrated Level 3 in the PPST Indicator as shown in COT rating sheet / interobserver agreement form presented</t>
  </si>
  <si>
    <t>Demonstrated Level 2 in the PPST Indicator as shown in COT rating sheet / interobserver agreement form presented</t>
  </si>
  <si>
    <t>2.5.2</t>
  </si>
  <si>
    <t>1.2.2</t>
  </si>
  <si>
    <t>1.4.2</t>
  </si>
  <si>
    <t>1.3.2</t>
  </si>
  <si>
    <t>1.5.2</t>
  </si>
  <si>
    <t>1.6.2</t>
  </si>
  <si>
    <t>1.7.2</t>
  </si>
  <si>
    <t>2.1.2</t>
  </si>
  <si>
    <t>2.2.2</t>
  </si>
  <si>
    <t>2.3.2</t>
  </si>
  <si>
    <t>2.4.2</t>
  </si>
  <si>
    <t>2.6.2</t>
  </si>
  <si>
    <t>3.1.2</t>
  </si>
  <si>
    <t>3.3.2</t>
  </si>
  <si>
    <t>3.2.2</t>
  </si>
  <si>
    <t>3.4.2</t>
  </si>
  <si>
    <t>3.5.2</t>
  </si>
  <si>
    <t>4.1.2</t>
  </si>
  <si>
    <t>4.2.2</t>
  </si>
  <si>
    <t>4.3.2</t>
  </si>
  <si>
    <t>4.4.2</t>
  </si>
  <si>
    <t>4.5.2</t>
  </si>
  <si>
    <t>5.3.2</t>
  </si>
  <si>
    <t>5.1.2</t>
  </si>
  <si>
    <t>5.2.2</t>
  </si>
  <si>
    <t>5.4.2</t>
  </si>
  <si>
    <t>5.5.2</t>
  </si>
  <si>
    <t>6.1.2</t>
  </si>
  <si>
    <t>6.2.2</t>
  </si>
  <si>
    <t>6.3.2</t>
  </si>
  <si>
    <t>6.4.2</t>
  </si>
  <si>
    <t>7.1.2</t>
  </si>
  <si>
    <t>7.2.2</t>
  </si>
  <si>
    <t>7.3.2</t>
  </si>
  <si>
    <t>7.4.2</t>
  </si>
  <si>
    <t>7.5.2</t>
  </si>
  <si>
    <t>1.1.2</t>
  </si>
  <si>
    <t>P_positions</t>
  </si>
  <si>
    <t>Shared insights and/or suggestions on the effective use of teacher and learner feedback during LAC sessions/meeti ngs/other collegial discussions to enrich teaching practice, as evidenced by MOV 3</t>
  </si>
  <si>
    <t>Reflected on the use of teacher and learner feedback obtained from the LAC sessions/ meetings/ other collegial discussions attended to enrich teaching practice, as evidenced by MOV 2</t>
  </si>
  <si>
    <t>Completed LAC sessions/ meetings/other collegial discussions on using teacher and learner feedback to enrich teaching practice, as evidenced by
MOV 1</t>
  </si>
  <si>
    <t>Attended but did not complete the LAC sessions/ meetings/ other collegial discussions on using teacher and learner feedback to enrich teaching practice, as evidenced by MOV 1</t>
  </si>
  <si>
    <t>No acceptable evidence was shown</t>
  </si>
  <si>
    <t>Participated in collegial discussions on teacher and learner feedback across 4 quarters</t>
  </si>
  <si>
    <t xml:space="preserve"> Participated in collegial discussions on teacher and learner feedback across 3 quarters</t>
  </si>
  <si>
    <t>Participated in collegial discussions on teacher and learner feedback across 2 quarters</t>
  </si>
  <si>
    <t>Participated in a collegial discussion on teacher and learner feedback in only 1 quarter</t>
  </si>
  <si>
    <t>Implemented the intervention plan based on learner attainment data, as evidenced by MOV 4</t>
  </si>
  <si>
    <t xml:space="preserve">Developed an intervention plan based on learner attainment data, as evidenced by MOV 3 </t>
  </si>
  <si>
    <t>Monitored and evaluated learner progress and achievement with interpreted learner attainment data, as evidenced by MOV 2</t>
  </si>
  <si>
    <t>Monitored learner progress and achievement with available recorded learner attainment data, as evidenced by MOV 1</t>
  </si>
  <si>
    <t>Secured commitment and agreement from key stakeholders, including parents/ guardians, on the communicated learners needs, progress, and achievement, as evidenced by the MOV/s presented</t>
  </si>
  <si>
    <t>Solicited feedback from key stakeholders, including parents/ guardians, on the communicated learners needs, progress, and achievement, as evidenced by the MOV/s presented</t>
  </si>
  <si>
    <t>Communicated promptly and clearly the learners needs, progress and achievement to key stakeholders, including parents/ guardians, as evidenced by the MOV/s presented</t>
  </si>
  <si>
    <t>Communicated learners needs, progress, and achievement to key stakeholders, including parents/ guardians, but with inadequate details of information, as evidenced by the MOV/s presented</t>
  </si>
  <si>
    <t>Presented four (4) acceptable MOVs</t>
  </si>
  <si>
    <t>Presented three (3) acceptable MOVs</t>
  </si>
  <si>
    <t>Presented two (2) acceptable MOVs</t>
  </si>
  <si>
    <t>Presented one (1) acceptable MOV</t>
  </si>
  <si>
    <t>MOV/s presented showed prompt communication of learners’ needs, progress, and achievement across 4 quarters</t>
  </si>
  <si>
    <t>MOV/s presented showed prompt communication of learners’ needs, progress, and achievement across 3 quarters</t>
  </si>
  <si>
    <t>MOV/s presented showed prompt communication of learners’ needs, progress, and achievement across 2 quarters</t>
  </si>
  <si>
    <t>MOV/s presented showed prompt communication of learners’ needs, progress, and achievement in only 1 quarter</t>
  </si>
  <si>
    <t>Demonstrated a clear, theoryinformed learnercentered philosophy and justified how it shaped the design of instructional materials, with strong alignment shown through specific and reflective annotations</t>
  </si>
  <si>
    <t>Articulated a learnercentered philosophy and explained how it informed the design and choice of instructional strategies, with evident links in the annotation</t>
  </si>
  <si>
    <t>Applied a personal philosophy of teaching that is learnercentered and described its connection to the instructional materials through general reflection</t>
  </si>
  <si>
    <t>Mentioned a teaching philosophy with a limited or unclear connection to learnercentered practices or instructional materials</t>
  </si>
  <si>
    <t>Updated professional development goals during Phase II of the PMES Cycle as evidenced by MOV 4</t>
  </si>
  <si>
    <t>Discussed progress on professional development goals with the rater during the mid-year review, as evidenced by MOV 3</t>
  </si>
  <si>
    <t>Set professional development goals based on e-SAT results as evidenced by MOV 2</t>
  </si>
  <si>
    <t>Accomplished the e-SAT at the beginning of the school year as evidenced by MOV 1</t>
  </si>
  <si>
    <t>All four (4) presented MOVs were accomplished within the prescribed PMES Phase</t>
  </si>
  <si>
    <t>All three (3) presented MOVs were accomplished within the prescribed PMES Phase</t>
  </si>
  <si>
    <t>All two (2) presented MOVs were accomplished within the prescribed PMES Phase</t>
  </si>
  <si>
    <t>Only one (1) presented MOV was accomplished within the prescribed PMES Phase</t>
  </si>
  <si>
    <t>Demonstrated Level 7 in the PPST Indicator as shown in the COT rating sheet / interobserver agreement form presented</t>
  </si>
  <si>
    <t>Planned for the use of teacher and learner feedback obtained from the LAC sessions/ meetings/ other collegial discussions attended to enrich the teaching practice, as evidenced by MOV 4</t>
  </si>
  <si>
    <t>Shared insights and/or suggestions on the effective use of teacher and learner feedback during LAC sessions/ meetings/other collegial discussions to enrich teaching practice, as evidenced by MOV 3</t>
  </si>
  <si>
    <t>Reflected on the use of teacher and learner feedback obtained from the LAC sessions/ meetings /other collegial discussions attended to enrich teaching practice, as evidenced by MOV 2</t>
  </si>
  <si>
    <t>Completed LAC sessions/ meetings/other collegial discussions on using teacher and learner feedback to enrich teaching practice, as evidenced by MOV 1</t>
  </si>
  <si>
    <t>Reflected on the use of teacher and learner feedback to enrich teaching practice across 4 quarters</t>
  </si>
  <si>
    <t>Reflected on the use of teacher and learner feedback to enrich teaching practice across 3 quarters</t>
  </si>
  <si>
    <t>Reflected on the use of teacher and learner feedback to enrich teaching practice across 2 quarters</t>
  </si>
  <si>
    <t>Reflected on the use of teacher and learner feedback to enrich teaching
 practice in only 1 quarter</t>
  </si>
  <si>
    <t>Evaluated the implemented intervention plan based on learner attainment data, as evidenced by MOV 4</t>
  </si>
  <si>
    <t>Implemented the intervention plan based on learner attainment data, as evidenced by MOV 3</t>
  </si>
  <si>
    <t>Monitored and evaluated learner progress and achievement with interpretedlearner attainment data, as evidenced by MOV 2</t>
  </si>
  <si>
    <t>Implemented steps to address the identified learners needs, and support progress and achievement based on the communicated information, as shown in the MOV/s submitted</t>
  </si>
  <si>
    <t>MOV/s presented showed prompt communication of learners’ needs, progress, and achievement across 43quarters</t>
  </si>
  <si>
    <t>Exhibited a well-developed learnercentered philosophy with clear, evidencebased rationale, showing how it shaped thoughtful, effective instructional materials and strategies, supported by detailed and insightful reflection.</t>
  </si>
  <si>
    <t>Demonstrated a clear, theoryinformed learnercentered philosophy and justified how it shaped the design of instructional materials, with strong alignment shown through specific, reflective annotations.</t>
  </si>
  <si>
    <t>Demonstrated Level 8 in the PPST Indicator as shown in the COT rating sheets presented</t>
  </si>
  <si>
    <t>Demonstrated Level 7 in the PPST Indicator as shown in COT rating sheets presented</t>
  </si>
  <si>
    <t>Demonstrated Level 6 in the PPST Indicator as shown in COT rating sheets presented</t>
  </si>
  <si>
    <t>Demonstrated Level 5 in the PPST Indicator as shown in COT rating sheets presented</t>
  </si>
  <si>
    <t>Demonstrated Level 4 in the PPST Indicator as shown in COT rating sheets presented</t>
  </si>
  <si>
    <t>Led the utilization/ adoption of refined/ enhanced strategies that promote learner achievement in Literacy and Numeracy as evidenced by MOV 4</t>
  </si>
  <si>
    <t>Guided colleagues in refining/ enhancing teaching strategies that promote learner achievement in literacy and numeracy based on the evaluation results as evidenced by MOV 3</t>
  </si>
  <si>
    <t>Evaluated with colleagues the effectiveness of teaching strategies that promote learner achievement in literacy and numeracy as evidenced by MOV 2</t>
  </si>
  <si>
    <t>Monitored consistent use of teaching strategies that promote learner achievement in literacy and numeracy to gather baseline data and establish a starting point of comparison for evaluation of its effectiveness as evidenced by MOV 1</t>
  </si>
  <si>
    <t>Monitored the application of effective techniques
in the management of classroom structure to engage learners, individually or in groups, in meaningful exploration, discovery, and handson activities within a range of physical learning environments, as evidenced by MOV 4</t>
  </si>
  <si>
    <t>Guided colleague/s in applying effective techniques in the management of classroom structure to engage learners, individually or in groups, in meaningful exploration, discovery, and handson activities within a range of physical learning environments, as evidenced by MOV 3</t>
  </si>
  <si>
    <t>Worked collaboratively with colleagues to determine demonstrated effective classroom structure techniques that promote learner engagement—both individually and in groups—through meaningful, hands-on exploration across various physical learning environments, as evidenced by MOV 2</t>
  </si>
  <si>
    <t>Demonstrated to colleague/s effective techniques in the management of classroom structure to engage learners, individually or in groups, in meaningful exploration, discovery, and handson activities within a range of physical learning environments, as evidenced by MOV 1</t>
  </si>
  <si>
    <t>Guided colleagues in implementing best practices in differentiated, developmentally appropriate opportunities to address learners’ differences in gender, needs, strengths, interests, and experiences during coaching and mentoring sessions/ meetings/LAC sessions / other collegial discussions as evidenced by MOV 4</t>
  </si>
  <si>
    <t>Synthesized insights and/or best practices shared from collegial discussions on implementing differentiated,developmentally appropriate opportunities to address learners’ diverse gender identities, needs, strengths, interests, and experiences, as evidenced by MOV 3</t>
  </si>
  <si>
    <t>Conducted coaching and mentoring sessions/ meetings/LAC sessions / other collegial discussions to share differentiated, developmentally appropriate opportunities to address learner’s differences in gender, needs, strengths, interests, and experiences as evidenced by MOV 2</t>
  </si>
  <si>
    <t>Planned for the conduct of coaching and mentoring sessions/ meetings/LAC sessions / other collegial discussions to share differentiated, developmentally appropriate opportunities to address learners’ differences in gender, needs, strengths, interests, and experiences by MOV 1</t>
  </si>
  <si>
    <t>Guided colleagues in planning, facilitating and enriching teaching practice through the teacher and learner feedback reviewed during LAC sessions/ meetings/other collegial discussions, as evidenced by MOV 4</t>
  </si>
  <si>
    <t>Synthesized agreements and recommendation s on the use of teacher and learner feedback obtained from the conducted LAC sessions/ meetings/other collegial discussions to plan, facilitate, and enrich teaching practice, as evidenced by MOV 3</t>
  </si>
  <si>
    <t>Led the review of teacher and learner feedback to plan, facilitate, and enrich teaching practice through LAC sessions/ meetings/other collegial discussions, as evidenced by MOV 2</t>
  </si>
  <si>
    <t>Gathered teacher and learner feedback to plan, facilitate, and enrich teaching practice, as evidenced by MOV 1</t>
  </si>
  <si>
    <t>Facilitated LAC sessions/ meetings/other collegial discussions on reviewing teacher and learner feedback across 4 quarters</t>
  </si>
  <si>
    <t>Facilitated LAC sessions/ meetings/other collegial discussions on reviewing teacher and learner feedback across 3 quarters</t>
  </si>
  <si>
    <t>Facilitated LAC sessions/ meetings/other collegial discussions on reviewing teacher and learner feedback across 2 quarters</t>
  </si>
  <si>
    <t>Facilitated LAC sessions/ meetings/other collegial discussions on reviewing teacher and learner feedback in only 1 quarter</t>
  </si>
  <si>
    <t>Monitored colleagues’ individual practices in selecting, organizing, developing and using appropriate teaching and learning resources, including ICT, to address specific learning goals, as evidenced by MOV 4</t>
  </si>
  <si>
    <t>Guided colleagues individually in selecting, organizing, developing and using appropriate teaching and learning resources, including ICT, to address specific learning goals, as evidenced by MOV 3</t>
  </si>
  <si>
    <t>Advised and guided colleagues in the selection, organization, development and use of appropriate teaching and learning resources, including ICT, to address specific learning goals, as evidenced by MOV 2</t>
  </si>
  <si>
    <t>Demonstrated to colleague/s a professional practice in the selection, organization, development and use of appropriate teaching and learning resources, including ICT, to address specific learning goals, as evidenced by MOV 1</t>
  </si>
  <si>
    <t>Guided colleagues in designing, selecting, organizing, and using a range of effective diagnostic, formative, and summative assessment strategies, as evidenced by MOV 4</t>
  </si>
  <si>
    <t>Synthesized agreements and recommendations on the design, selection, organization and use of a range of effective diagnostic, formative and summative strategies, as evidenced by MOV 3</t>
  </si>
  <si>
    <t>Led the review of the design, selection, organization and use of a range of effective diagnostic, formative and summative strategies, as evidenced by MOV 2</t>
  </si>
  <si>
    <t>Planned the review of the design, selection, organization and use of a range of effective diagnostic, formative and summative strategies, as evidenced by MOV 1</t>
  </si>
  <si>
    <t>Guided colleagues in planning an intervention based on results of the interpretation of monitoring and evaluation
 strategies as evidenced by MOV no. 3, highlighting the planning of intervention of the mentored teacher</t>
  </si>
  <si>
    <t>Conducted collaborative interpretation of monitoring and evaluation strategies of attainment of data as evidenced by MOV no. 2</t>
  </si>
  <si>
    <t>Planned the conduct of collaborative interpretation of monitoring and evaluation strategies of attainment of data as evidenced by
MOV no. 1</t>
  </si>
  <si>
    <t>Guided colleagues in  implementing intervention strategies to support learner progress and achievement as evidenced by MOV no. 3, highlighting the implementation of the intervention of the mentored teacher</t>
  </si>
  <si>
    <t>Sustained the implemented strategies in addressing the identified learners needs, and support progress and achievement based on the communicated information, as shown in the MOV/s submitted</t>
  </si>
  <si>
    <t>Implemented steps to address the identified learners needs, and support progress and achievement based on the communicated information, as shown in the  MOV/s submitted</t>
  </si>
  <si>
    <t>Secured commitment and agreement from key stakeholders, including parents/ guardians, on the communicated learners needs, progress, and achievement, as shown in the MOV/s submitted</t>
  </si>
  <si>
    <t>Communicated promptly and clearly and solicited feedback from key stakeholders, including parents/ guardians, on the learners needs, progress and achievement, as shown in the MOV/s submitted</t>
  </si>
  <si>
    <t>Presented MOV/s showing prompt communication of learners’ needs, progress, and achievement across 4 quarters</t>
  </si>
  <si>
    <t>Presented MOV/s showing prompt communication of learners’ needs, progress, and achievement across 3 quarters</t>
  </si>
  <si>
    <t>Presented MOV/s showing prompt communication of learners’ needs, progress, and achievement across 2 quarters</t>
  </si>
  <si>
    <t>Presented MOV/s showing prompt communication of learners’ needs, progress, and achievement in only 1 quarter</t>
  </si>
  <si>
    <t>Guided colleagues in enhancing their own learnercentered approach based on the agreements and recommendations, as evidenced by MOV 6</t>
  </si>
  <si>
    <t>Synthesized agreements and recommendatio ns in enhancing colleagues’ own learnercentered teaching philosophy, as evidenced by MOV 5</t>
  </si>
  <si>
    <t>Manifested a learner-centered teaching philosophy in various aspects of practice and supported colleagues in enhancing their own learnercentered teaching philosophy, as evidenced by MOV 3 or 4</t>
  </si>
  <si>
    <t>Identified learnercentered teaching philosophies in various aspects of practice and showed limited support to colleagues in enhancing their own learnercentered teaching philosophy, as evidenced by MOV 1 or 2</t>
  </si>
  <si>
    <t>Updated professional development goals during Phase II of the PMES Cycle as evidenced by MOV 5</t>
  </si>
  <si>
    <t>Discussed progress on professional development goals with the rater during the mid-year review, as evidenced by MOV 4</t>
  </si>
  <si>
    <t>Set professional development goals based on e-SAT results as evidenced by MOV 2 or MOV 3</t>
  </si>
  <si>
    <t>Accomplished the e-SAT at the beginning of the school year, as evidenced by MOV 1</t>
  </si>
  <si>
    <t xml:space="preserve">RATING FOR PART I. PROFESSIONAL STANDARDS </t>
  </si>
  <si>
    <t>Demonstrated Level 9 in the PPST Indicator as shown in the COT rating sheets presented</t>
  </si>
  <si>
    <t>Maintained a sustainable mechanism of knowledge-sharing and collaborative culture among colleagues to continuously review, modify, and expand teaching strategies that promote critical thinking and higherorder thinking skills evidenced by MOV 4</t>
  </si>
  <si>
    <t>Established a mechanism of knowledge-sharing and collaborative culture among colleagues to continuously review, modify, and expand teaching strategies that promote critical thinking and higherorder thinking skills evidenced by MOV 3</t>
  </si>
  <si>
    <t>Led the review, modification and expansion of identified teaching strategies that promote critical thinking and higherorder thinking skills evidenced by MOV 2</t>
  </si>
  <si>
    <t>Initiated the conduct of review and needs analysis of teaching strategies that promote critical thinking and higherorder thinking skills evidenced by MOV 1</t>
  </si>
  <si>
    <t>Maintained a sustainable mechanism of a whole-school review and evaluation for teachers of their practices in the management of classroom structure and activities, as evidenced by MOV 4</t>
  </si>
  <si>
    <t>Established a wholeschool review and evaluation mechanism for teachers of their practices in the management of classroom structure and activities, as evidenced by MOV 3</t>
  </si>
  <si>
    <t>Led colleagues at the whole-school level to review and evaluate the demonstrated exemplary practice and the current practices of teachers in the management of classroom structure and activities, as evidenced by MOV 2</t>
  </si>
  <si>
    <t>Demonstrated to colleague/s an exemplary practice in the management of classroom structure and activities as evidenced by MOV 1</t>
  </si>
  <si>
    <t>Evaluated the effectiveness of colleagues’ application of positive and nonviolent discipline policies/procedure s to ensure learning-focused environments, as evidenced by MOV 4</t>
  </si>
  <si>
    <t>Monitored colleagues’ application of positive and nonviolent discipline policies/procedure s to ensure learning-focused environments, as evidenced by MOV 3</t>
  </si>
  <si>
    <t>Led professional development activities teachers on the application of positive and non-violent discipline policies/ procedures as evidenced by MOV 2</t>
  </si>
  <si>
    <t>Initiated professional development activities for teachers on the application of positive and non-violent discipline policies/ procedures as evidenced by MOV 1</t>
  </si>
  <si>
    <t>Guided colleagues in utilizing findings from the evaluation of differentiated strategies to inform and enhance teaching practices that effectively address diverse learner needs, as evidenced by MOV 4</t>
  </si>
  <si>
    <t>Synthesized findings from the evaluation of differentiated strategies with colleagues to inform and enhance teaching practices that effectively address diverse learner needs, as evidenced by MOV 3</t>
  </si>
  <si>
    <t>Led colleagues in the evaluation of differentiated strategies, informed by classroom observation data, lesson plans, and daily lesson logs, to enrich practices that effectively address diverse learner needs, as evidenced by MOV 2</t>
  </si>
  <si>
    <t>Planned an evaluation of differentiated teaching strategies, informed by classroom observation data, lesson plans, and daily lesson logs, to enrich practices that effectively address diverse learner needs, as evidenced by MOV 1</t>
  </si>
  <si>
    <t>Guided colleagues in applying exemplary practice/s based on their reflection on enhancing their current practices in the planning and management of developmentally sequenced teaching and learning process, as evidenced by MOV 4</t>
  </si>
  <si>
    <t>Guided colleagues in reflecting on the demonstrated exemplary practice/s to enhance their current practices in the planning and management of developmentally sequenced learning process, as evidenced by MOV 3</t>
  </si>
  <si>
    <t>Discussed with colleagues the demonstrated exemplary practice in the planning and management of developmentally sequenced teaching and learning process, as evidenced by MOV 2</t>
  </si>
  <si>
    <t>Demonstrated to colleague/s an exemplary practice in the planning and management of developmentally sequenced teaching and learning process, as evidenced by MOV 1</t>
  </si>
  <si>
    <t>Led colleagues in the implementation of innovative teaching strategies/ intervention that enrich the
teaching practice, as evidenced by MOV 4</t>
  </si>
  <si>
    <t>Led colleagues in the development of innovative teaching strategies/ intervention that enrich the teaching practice, as evidenced by MOV 3</t>
  </si>
  <si>
    <t>Led colleagues in planning for and implementing strategies that enrich the teaching practice as, evidenced by MOV 2</t>
  </si>
  <si>
    <t>Facilitated professional discussions on planning and implementing strategies that enrich the teaching practice, as evidenced by MOV 1</t>
  </si>
  <si>
    <t>Guided colleagues in planning for and implementing strategies that enrich the teaching practice across 4 quarters as evidenced by MOV 2</t>
  </si>
  <si>
    <t>Guided colleagues in planning for and implementing strategies that enrich the teaching practice across 3 quarters as evidenced by MOV 2</t>
  </si>
  <si>
    <t>Guided colleagues in planning for and implementing strategies that enrich the teaching practice across 2 quarters as evidenced by MOV 2</t>
  </si>
  <si>
    <t>Guided colleagues in planning for and implementing strategies that enrich the teaching practice in only 1 quarter as evidenced by MOV 2</t>
  </si>
  <si>
    <t>Led colleagues in the development and evaluation of teaching and learning resources, including ICT, used within and beyond the school, as evidenced by MOV 4</t>
  </si>
  <si>
    <t>Led colleagues in the development and evaluation of teaching and learning resources, including ICT, used within the school, as evidenced by MOV 3</t>
  </si>
  <si>
    <t>Modeled exemplary skills and led colleagues in the development and evaluation of teaching and learning resources, including ICT, for use within and beyond the school, as evidenced by MOV 2</t>
  </si>
  <si>
    <t>Demonstrated to colleagues exemplary skills in the development and evaluation of teaching and learning resources, including ICT, as evidenced by MOV 1</t>
  </si>
  <si>
    <t>Implemented the recommended assessment policy and/or guidelines at the school level as a result of the evaluation on the design, selection, organization and use of effective diagnostic, formative and summative assessment strategies consistent with curriculum requirements as evidenced by MOV 4</t>
  </si>
  <si>
    <t>Recommended assessment policy and/or guidelines at the school level as a result of the evaluation on the design, selection, organization and use of effective diagnostic, formative and summative assessment strategies consistent with curriculum requirements as evidenced by MOV 3</t>
  </si>
  <si>
    <t>Led colleagues in an evaluation of assessment policy and/or guidelines on the design, selection, organization and use of effective diagnostic, formative and summative assessment strategies consistent with curriculum requirements as evidenced by MOV 2</t>
  </si>
  <si>
    <t>Participated in an evaluation of assessment policy and/or guidelines on the design, selection, organization and use of effective diagnostic, formative and summative  assessment strategies consistent with curriculum requirements as evidenced by MOV 1</t>
  </si>
  <si>
    <t>Implemented the program for teachers on the effective analysis and use of learner attainment of data, as evidenced by MOV 4</t>
  </si>
  <si>
    <t>Discussed with colleagues approach/es in the effective analysis and use of learner attainment of data, as evidenced by MOV 2</t>
  </si>
  <si>
    <t>Planned a discussion with colleagues on effective approach/es in analysis and use of learner attainment data, as evidenced by MOV 1</t>
  </si>
  <si>
    <t>Planned a program for  teachers on the effective analysis and use of learner attainment of data, as evidenced by MOV 3</t>
  </si>
  <si>
    <t>Maintained a sustainable collaborative system of sharing effective communication strategies of learner needs, progress, and achievement to key stakeholders, including parents/ guardians, as evidenced by MOV 4</t>
  </si>
  <si>
    <t>Established a mechanism of sharing with colleagues a wide-range of effective communication strategies that engaged key stakeholders, including parents/ guardians, to address learners’ needs, progress and achievement, as evidenced by MOV 3</t>
  </si>
  <si>
    <t>Shared with colleagues a wide-range of strategies that ensure effective communication of learner needs, progress, and achievement to key stakeholders, including parents/ guardians, as evidenced by MOV 2</t>
  </si>
  <si>
    <t>Shared with colleague/s a limited range of strategies that ensure effective communication of learner needs, progress, and achievement to key stakeholders, including parents/ guardians, as evidenced by MOV 1</t>
  </si>
  <si>
    <t>Led colleagues to engage in sustained professional learning by initiating and facilitating structured learning activities using learnercentered instructional resources, as evidenced by MOV 5</t>
  </si>
  <si>
    <t>Contributed to the professional growth of colleagues in enhancing their own learnercentered approach by providing constructive feedback on their teaching practices, as evidenced by MOV 4</t>
  </si>
  <si>
    <t>Shared resources or strategies that can be adopted by colleagues in enhancing their own learnercentered teaching philosophy, as evidenced by
MOV 3</t>
  </si>
  <si>
    <t>Manifested a learnercentered teaching philosophy in various aspects of practice and supported colleagues in enhancing their own learnercentered teaching philosophy, as evidenced by MOV 1 or MOV 2</t>
  </si>
  <si>
    <t>Designed and led sustainable professional development reforms grounded in deep expertise in the PPST, withformal evidence of long-term institutional adoption, policy integration, or system-level influence, as evidenced by MOV 6</t>
  </si>
  <si>
    <t>Led reforms in enhancing professional development programs based on an in-depth knowledge and understanding of the PPST, as evidenced by MOV 3</t>
  </si>
  <si>
    <t>Showed knowledge of PPST and some involvement in PD programs, but without a clear reform direction as evidenced by MOV 1 or MOV 2</t>
  </si>
  <si>
    <t>14. Led reforms in enhancing professional development programs based on an in-depth knowledge and understanding of the Philippine Professional  Standards for Teachers. (PPST 7.5.4)</t>
  </si>
  <si>
    <t>6. Led colleagues to evaluate differentiated strategies to enrich teaching practices that address learners’  differences in gender, needs, strengths, interests and experiences. (PPST 3.1.4)</t>
  </si>
  <si>
    <t>8. Led colleagues in professional discussions to plan and implement strategies that enrich teaching practice.  (PPST 4.4.4)</t>
  </si>
  <si>
    <t>10. Led initiatives in the  evaluation of assessment policies and guidelines that relate to the design, selection, organization and use of effective diagnostic, formative and summative assessment  strategies consistent with curriculum requirements. (PPST 5.1.4)</t>
  </si>
  <si>
    <t>Spearheaded strategic enhancements to professional development programs that demonstrate a strong, applied understanding of the PPST, with documented implementation, evaluation results, and visible improvements in practice, as evidenced by MOV 4 or MOV 5</t>
  </si>
  <si>
    <t>Note: This Form is to be accomplished by the RATER.</t>
  </si>
  <si>
    <r>
      <t xml:space="preserve">OFFICIAL ELECTRONIC IPCRF TOOL
</t>
    </r>
    <r>
      <rPr>
        <sz val="20"/>
        <color theme="1"/>
        <rFont val="Calibri"/>
        <family val="2"/>
      </rPr>
      <t xml:space="preserve"> SY 2025-2026</t>
    </r>
  </si>
  <si>
    <t>Indicators</t>
  </si>
  <si>
    <t>RPMS 
5-pt Scale</t>
  </si>
  <si>
    <t>Rating Period</t>
  </si>
  <si>
    <r>
      <rPr>
        <b/>
        <sz val="12"/>
        <color rgb="FFFF0000"/>
        <rFont val="Arial Narrow"/>
        <family val="2"/>
      </rPr>
      <t>*</t>
    </r>
    <r>
      <rPr>
        <b/>
        <sz val="12"/>
        <color theme="1"/>
        <rFont val="Arial Narrow"/>
        <family val="2"/>
      </rPr>
      <t xml:space="preserve"> DepEd Email:</t>
    </r>
  </si>
  <si>
    <t>BtP_Ind</t>
  </si>
  <si>
    <t>BtP_COI</t>
  </si>
  <si>
    <t>BtP_COTno</t>
  </si>
  <si>
    <t>BtP_Q1</t>
  </si>
  <si>
    <t>BtP_Q2</t>
  </si>
  <si>
    <t>BtP_E</t>
  </si>
  <si>
    <t>BtP_T</t>
  </si>
  <si>
    <t>P_Ind</t>
  </si>
  <si>
    <t>P_COI</t>
  </si>
  <si>
    <t>P_COTno</t>
  </si>
  <si>
    <t>P_Q1</t>
  </si>
  <si>
    <t>P_Q2</t>
  </si>
  <si>
    <t>P_E</t>
  </si>
  <si>
    <t>P_T</t>
  </si>
  <si>
    <t>HP_Ind</t>
  </si>
  <si>
    <t>HP_COI</t>
  </si>
  <si>
    <t>HP_COTno</t>
  </si>
  <si>
    <t>HP_Q1</t>
  </si>
  <si>
    <t>HP_Q2</t>
  </si>
  <si>
    <t>HP_E</t>
  </si>
  <si>
    <t>HP_T</t>
  </si>
  <si>
    <t>D_Ind</t>
  </si>
  <si>
    <t>D_COI</t>
  </si>
  <si>
    <t>D_COTno</t>
  </si>
  <si>
    <t>D_Q1</t>
  </si>
  <si>
    <t>D_Q2</t>
  </si>
  <si>
    <t>D_E</t>
  </si>
  <si>
    <t>D_T</t>
  </si>
  <si>
    <t>1.1.3</t>
  </si>
  <si>
    <t>1.4.3</t>
  </si>
  <si>
    <t>1.5.3</t>
  </si>
  <si>
    <t>2.3.3</t>
  </si>
  <si>
    <t>2.6.3</t>
  </si>
  <si>
    <t>3.1.3</t>
  </si>
  <si>
    <t>4.1.3</t>
  </si>
  <si>
    <t>4.4.3</t>
  </si>
  <si>
    <t>4.5.3</t>
  </si>
  <si>
    <t>5.1.3</t>
  </si>
  <si>
    <t>5.3.3</t>
  </si>
  <si>
    <t>5.4.3</t>
  </si>
  <si>
    <t>7.1.3</t>
  </si>
  <si>
    <t>7.5.3</t>
  </si>
  <si>
    <t>5.2.3</t>
  </si>
  <si>
    <t>1.1.4</t>
  </si>
  <si>
    <t>1.4.4</t>
  </si>
  <si>
    <t>1.5.4</t>
  </si>
  <si>
    <t>2.6.4</t>
  </si>
  <si>
    <t>3.1.4</t>
  </si>
  <si>
    <t>4.1.4</t>
  </si>
  <si>
    <t>4.4.4</t>
  </si>
  <si>
    <t>4.5.4</t>
  </si>
  <si>
    <t>5.1.4</t>
  </si>
  <si>
    <t>5.2.4</t>
  </si>
  <si>
    <t>5.4.4</t>
  </si>
  <si>
    <t>7.1.4</t>
  </si>
  <si>
    <t>7.5.4</t>
  </si>
  <si>
    <t>2.3.4</t>
  </si>
  <si>
    <r>
      <rPr>
        <b/>
        <sz val="13"/>
        <color rgb="FFFF0000"/>
        <rFont val="Arial Narrow"/>
        <family val="2"/>
      </rPr>
      <t xml:space="preserve">* </t>
    </r>
    <r>
      <rPr>
        <b/>
        <sz val="13"/>
        <color theme="1"/>
        <rFont val="Arial Narrow"/>
        <family val="2"/>
      </rPr>
      <t>Deped email</t>
    </r>
  </si>
  <si>
    <t>FINAL PERFORMANCE RESULTS</t>
  </si>
  <si>
    <t>property</t>
  </si>
  <si>
    <t>value</t>
  </si>
  <si>
    <t>doc_type</t>
  </si>
  <si>
    <t>IPCRF encoding</t>
  </si>
  <si>
    <t>version</t>
  </si>
  <si>
    <t>rating_period</t>
  </si>
  <si>
    <t>required_cot</t>
  </si>
  <si>
    <t>consolidation_status</t>
  </si>
  <si>
    <t>save_status</t>
  </si>
  <si>
    <t>change_status</t>
  </si>
  <si>
    <t>setup_status</t>
  </si>
  <si>
    <t>demographics_locked</t>
  </si>
  <si>
    <t>PART1_status</t>
  </si>
  <si>
    <t>PART2_status</t>
  </si>
  <si>
    <t>PART4_status</t>
  </si>
  <si>
    <t>COT1_status</t>
  </si>
  <si>
    <t>rater_lock_password</t>
  </si>
  <si>
    <t>ratee_lock_password</t>
  </si>
  <si>
    <t>uniquepersonnelid</t>
  </si>
  <si>
    <t>teacher_name</t>
  </si>
  <si>
    <t>region</t>
  </si>
  <si>
    <t>division</t>
  </si>
  <si>
    <t>level_taught</t>
  </si>
  <si>
    <t>school_id</t>
  </si>
  <si>
    <t>school_name</t>
  </si>
  <si>
    <t>eIPCRFv1-SY 2025-2026.xlsm</t>
  </si>
  <si>
    <t>regionid</t>
  </si>
  <si>
    <t>divisionid</t>
  </si>
  <si>
    <t>region_name</t>
  </si>
  <si>
    <t>division_name</t>
  </si>
  <si>
    <t>school_type</t>
  </si>
  <si>
    <t>school_size</t>
  </si>
  <si>
    <t>curricular_classification</t>
  </si>
  <si>
    <t>lastname</t>
  </si>
  <si>
    <t>firstname</t>
  </si>
  <si>
    <t>middlename</t>
  </si>
  <si>
    <t>email</t>
  </si>
  <si>
    <t>TIN</t>
  </si>
  <si>
    <t>employment_status</t>
  </si>
  <si>
    <t>sex</t>
  </si>
  <si>
    <t>highest_degree</t>
  </si>
  <si>
    <t>descriptive_rating</t>
  </si>
  <si>
    <t>self_mgt_rating</t>
  </si>
  <si>
    <t>teamwork_rating</t>
  </si>
  <si>
    <t>service_orientation_rating</t>
  </si>
  <si>
    <t>results_focus_rating</t>
  </si>
  <si>
    <t>innovation_rating</t>
  </si>
  <si>
    <t>rater_lastname</t>
  </si>
  <si>
    <t>rater_firstname</t>
  </si>
  <si>
    <t>rater_middlename</t>
  </si>
  <si>
    <t>rater_position</t>
  </si>
  <si>
    <t>rater_email</t>
  </si>
  <si>
    <t>approving_authority_lastname</t>
  </si>
  <si>
    <t>approving_authority_firstname</t>
  </si>
  <si>
    <t>approving_authority_middlename</t>
  </si>
  <si>
    <t>approving_authority_position</t>
  </si>
  <si>
    <t>approving_authority_email</t>
  </si>
  <si>
    <t>date_of_review</t>
  </si>
  <si>
    <t>Part1_date_finalized</t>
  </si>
  <si>
    <t>Part2_date_finalized</t>
  </si>
  <si>
    <t>Part4_date_finalized</t>
  </si>
  <si>
    <t>average</t>
  </si>
  <si>
    <t>weight</t>
  </si>
  <si>
    <t>score</t>
  </si>
  <si>
    <t>adjectival_rating</t>
  </si>
  <si>
    <t>2025-2026</t>
  </si>
  <si>
    <t>Q1</t>
  </si>
  <si>
    <t>Q2</t>
  </si>
  <si>
    <t>Applied knowledge of content within and across curriculum teaching areas</t>
  </si>
  <si>
    <t>Used research-based knowledge and principles of teaching and learning to enhance professional practice</t>
  </si>
  <si>
    <t>Ensured the positive use of ICT to facilitate the teaching and learning process</t>
  </si>
  <si>
    <t>Used a range of teaching strategies that enhance learner achievement in literacy and numeracy skills</t>
  </si>
  <si>
    <t>Applied a range of teaching strategies to develop critical and creative thinking, as well as other higher-order thinking skills</t>
  </si>
  <si>
    <t>Displayed proficient use of Mother Tongue, Filipino and English to facilitate teaching and learning</t>
  </si>
  <si>
    <t>Used effective verbal and non-verbal classroom communication strategies to support learner understanding, participation, engagement and achievement</t>
  </si>
  <si>
    <t>Established safe and secure learning environments to enhance learning through the consistent implementation of policies, guidelines and procedures</t>
  </si>
  <si>
    <t>Maintained learning environments that promote fairness, respect and care to encourage learning</t>
  </si>
  <si>
    <t>Managed classroom structure to engage learners, individually or in groups, in meaningful exploration, discovery and hands-on activities within a range of physical learning environments</t>
  </si>
  <si>
    <t>Maintained learning environments that nurture and inspire learners to participate, cooperate and collaborate in continued learning</t>
  </si>
  <si>
    <t>Applied a range of successful strategies that maintain learning environments that motivate learners to work productively by assuming responsibility for their own learning</t>
  </si>
  <si>
    <t>Managed learner behavior constructively by applying positive and non-violent discipline to ensure learning- focused environments</t>
  </si>
  <si>
    <t>Used differentiated, developmentally appropriate learning experiences to address learners’ gender, needs, strengths, interests and experiences</t>
  </si>
  <si>
    <t>Established a learner- centered culture by using teaching strategies that respond to their linguistic, cultural, socioeconomic and religious backgrounds</t>
  </si>
  <si>
    <t>Designed, adapted and implemented teaching strategies that are responsive to learners with disabilities, giftedness and talents</t>
  </si>
  <si>
    <t>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t>
  </si>
  <si>
    <t>Adapted and used culturally appropriate teaching strategies to address the needs of learners from indigenous groups</t>
  </si>
  <si>
    <t>Planned, managed and implemented developmentally sequenced teaching and learning processes to meet curriculum requirements and varied teaching contexts</t>
  </si>
  <si>
    <t>Set achievable and appropriate learning outcomes that are aligned with learning competencies</t>
  </si>
  <si>
    <t>Adapted and implemented learning programs that ensure relevance and responsiveness to the needs of all learners</t>
  </si>
  <si>
    <t>Participated in collegial discussions that use teacher and learner feedback to  enrich teaching practice</t>
  </si>
  <si>
    <t>Selected, developed, organized and used appropriate teaching and learning resources, including ICT, to address learning goals</t>
  </si>
  <si>
    <t>Designed, selected, organized and used diagnostic, formative and summative assessment strategies consistent with curriculum requirements</t>
  </si>
  <si>
    <t>Monitored and evaluated learner progress and achievement using learner attainment data</t>
  </si>
  <si>
    <t>Used strategies for providing timely, accurate and constructive feedback to improve learner performance</t>
  </si>
  <si>
    <t>Communicated promptly and clearly the learners’ needs, progress and achievement  to key stakeholders, including parents/guardians</t>
  </si>
  <si>
    <t>Utilized assessment data to inform the modification of teaching and learning practices and programs</t>
  </si>
  <si>
    <t>Maintained learning environments that are responsive to community contexts</t>
  </si>
  <si>
    <t>Built relationships with parents/ guardians and the wider school community to facilitate involvement in the educative process</t>
  </si>
  <si>
    <t>Reviewed regularly personal teaching practice using existing laws and regulations that apply to the teaching profession and the responsibilities specified in the Code of Ethics for Professional Teachers</t>
  </si>
  <si>
    <t>Complied with and implemented school policies and procedures consistently to foster harmonious relationships with learners, parents, and other stakeholders</t>
  </si>
  <si>
    <t>Applied a personal philosophy of teaching that is learner-centered</t>
  </si>
  <si>
    <t>Adopted practices that uphold the dignity of teaching as a profession by exhibiting qualities such as caring attitude, respect and integrity</t>
  </si>
  <si>
    <t>Participated in professional networks to share knowledge and to enhance practice</t>
  </si>
  <si>
    <t>Developed a personal improvement plan based on reflection of one’s practice and ongoing professional learning</t>
  </si>
  <si>
    <t>Set professional development goals based on the Philippine Professional Standards for Teachers</t>
  </si>
  <si>
    <t>Modelled effective applications of content knowledge within and across curriculum teaching areas</t>
  </si>
  <si>
    <t>1.2.3</t>
  </si>
  <si>
    <t>Collaborated with colleagues in the conduct and   application of research to enrich knowledge of content and pedagogy</t>
  </si>
  <si>
    <t>1.3.3</t>
  </si>
  <si>
    <t>Promoted effective strategies in the positive use of ICT to facilitate the teaching and learning process</t>
  </si>
  <si>
    <t>Evaluated with colleagues the effectiveness of teaching strategies that promote learner achievement in literacy and numeracy</t>
  </si>
  <si>
    <t>Developed and applied effective teaching strategies to promote critical and creative thinking, as well as other higher-order thinking skills</t>
  </si>
  <si>
    <t>1.6.3</t>
  </si>
  <si>
    <t>Modelled and supported colleagues in the proficient use of Mother Tongue, Filipino and English to improve teaching and learning, as well as to develop learners’ pride of their language, heritage and culture</t>
  </si>
  <si>
    <t>1.7.3</t>
  </si>
  <si>
    <t>Displayed a wide range of effective verbal and non-verbal classroom communication strategies to support learner understanding, participation, engagement and achievement</t>
  </si>
  <si>
    <t>2.1.3</t>
  </si>
  <si>
    <t>Exhibited effective strategies that ensure safe and secure learning environments to enhance learning through the consistent implementation of policies, guidelines and procedures</t>
  </si>
  <si>
    <t>2.2.3</t>
  </si>
  <si>
    <t>Exhibited effective practices to foster learning environments that promote fairness, respect and care to encourage learning</t>
  </si>
  <si>
    <t>Worked with colleagues to model and share effective techniques in the management of classroom structure to engage learners, individually or in groups, in meaningful exploration, discovery and hands-on activities within a range of physical learning environments</t>
  </si>
  <si>
    <t>2.4.3</t>
  </si>
  <si>
    <t>Worked with colleagues to share successful strategies that sustain supportive learning environments that nurture and inspire learners to participate, cooperate and collaborate in continued learning</t>
  </si>
  <si>
    <t>2.5.3</t>
  </si>
  <si>
    <t>Modelled successful strategies and supported colleagues in promoting learning environments that effectively motivate learners to work productively by assuming responsibility for their own learning</t>
  </si>
  <si>
    <t>Exhibited effective and constructive behavior management skills by applying positive and non-violent discipline to ensure learning- focused environments</t>
  </si>
  <si>
    <t>Worked with colleagues to share differentiated, developmentally appropriate opportunities to address learners’ differences in gender, needs, strengths, interests and experiences</t>
  </si>
  <si>
    <t>3.2.3</t>
  </si>
  <si>
    <t>Exhibited a learner-centered culture that promotes success by using effective teaching strategies that respond to their linguistic, cultural, socioeconomic and religious backgrounds</t>
  </si>
  <si>
    <t>3.3.3</t>
  </si>
  <si>
    <t>Assisted colleagues to design, adapt and implement teaching strategies that are responsive to learners with disabilities, giftedness and talents</t>
  </si>
  <si>
    <t>3.4.3</t>
  </si>
  <si>
    <t>Evaluated with colleagues teaching strategies that are responsive to the special educational needs of learners in difficult circumstances*, including: geographic isolation; chronic illness; displacement due to armed conflict, urban resettlement or disasters; child abuse and child labor practices</t>
  </si>
  <si>
    <t>3.5.3</t>
  </si>
  <si>
    <t>Developed and applied teaching strategies to address effectively the needs of learners from indigenous groups</t>
  </si>
  <si>
    <t>Developed and applied effective strategies in the planning and management of developmentally sequenced teaching and learning processes  to meet curriculum requirements and varied teaching
contexts</t>
  </si>
  <si>
    <t>4.2.3</t>
  </si>
  <si>
    <t>Modelled to colleagues the setting of achievable and challenging learning outcomes that are aligned with learning competencies to cultivate a culture of excellence for all learners</t>
  </si>
  <si>
    <t>4.3.3</t>
  </si>
  <si>
    <t>Worked collaboratively with colleagues to evaluate the design of learning programs that develop the knowledge and skills of learners at different ability levels</t>
  </si>
  <si>
    <t>Reviewed with colleagues, teacher and learner feedback to plan, facilitate and enrich teaching practice</t>
  </si>
  <si>
    <t>Advised and guided colleagues  in the selection, organization, development and use of appropriate teaching and learning resources, including ICT, to address specific learning goals</t>
  </si>
  <si>
    <t>Worked collaboratively with colleagues to review the design, selection, organization and use of a range of effective diagnostic, formative and summative assessment strategies consistent with curriculum requirements</t>
  </si>
  <si>
    <t>Interpreted collaboratively monitoring and evaluation strategies of attainment data to support learner progress and achievement</t>
  </si>
  <si>
    <t>Used effective strategies for providing timely, accurate and constructive feedback to encourage learners to reflect on and improve their own learning</t>
  </si>
  <si>
    <t>Applied skills in the effective communication of learner needs, progress and achievement to key stakeholders, including parents/guardians</t>
  </si>
  <si>
    <t>5.5.3</t>
  </si>
  <si>
    <t>Worked collaboratively with colleagues to analyze and utilize assessment data to modify practices and programs to further support learner progress and achievement</t>
  </si>
  <si>
    <t>6.1.3</t>
  </si>
  <si>
    <t>Reflected on and evaluated learning environments that are responsive to community contexts</t>
  </si>
  <si>
    <t>6.2.3</t>
  </si>
  <si>
    <t>Guided colleagues to strengthen relationships with parents/ guardians and the wider school community to maximize their involvement in the educative process</t>
  </si>
  <si>
    <t>6.3.3</t>
  </si>
  <si>
    <t>Discussed with colleagues teaching and learning practices that apply existing codes, laws and regulations that apply to the teaching profession, and the responsibilities specified in the Code of Ethics for Professional Teachers</t>
  </si>
  <si>
    <t>6.4.3</t>
  </si>
  <si>
    <t>Exhibited commitment to and supported teachers in the implementation of school policies and procedures to foster harmonious relationships with learners, parents and other stakeholders</t>
  </si>
  <si>
    <t>Manifested a learner-centered teaching philosophy in various aspects of practice and support colleagues in enhancing their own learner-centered teaching philosophy</t>
  </si>
  <si>
    <t>7.2.3</t>
  </si>
  <si>
    <t>Identified and utilized personal professional strengths to uphold the dignity of teaching as a profession to help build a positive teaching and learning culture within the school</t>
  </si>
  <si>
    <t>7.3.3</t>
  </si>
  <si>
    <t>Contributed actively to professional networks within and between schools to improve knowledge and to enhance practice</t>
  </si>
  <si>
    <t>7.4.3</t>
  </si>
  <si>
    <t>Initiated professional reflections and promote learning opportunities with colleagues to improve practice</t>
  </si>
  <si>
    <t>Reflected on the Philippine Professional Standards for Teachers to plan personal professional development goals and assist colleagues in planning and achieving their own goals</t>
  </si>
  <si>
    <t xml:space="preserve"> </t>
  </si>
  <si>
    <t>COT Rating</t>
  </si>
  <si>
    <t>Languages</t>
  </si>
  <si>
    <t>Good Manners and Right Conduct</t>
  </si>
  <si>
    <t>Reading and Literacy</t>
  </si>
  <si>
    <t>Physical and Natural Environment</t>
  </si>
  <si>
    <t>Others</t>
  </si>
  <si>
    <t>P indicators for Commitment Form</t>
  </si>
  <si>
    <t>HP Indicators for Commitment Form</t>
  </si>
  <si>
    <t>New Performance Rating</t>
  </si>
  <si>
    <t>School Year:</t>
  </si>
  <si>
    <t>TEACHER'S COMMITMENT FORM</t>
  </si>
  <si>
    <t>Adjectival
 Rating</t>
  </si>
  <si>
    <r>
      <t xml:space="preserve">Previous Performance Rating
</t>
    </r>
    <r>
      <rPr>
        <i/>
        <sz val="8"/>
        <color rgb="FF000000"/>
        <rFont val="Calibri"/>
        <family val="2"/>
        <scheme val="minor"/>
      </rPr>
      <t>(As indicated in the submitted and approved Teacher's Commitment Form)</t>
    </r>
  </si>
  <si>
    <t>PART I:  Final Professional Standards Rating</t>
  </si>
  <si>
    <t>Overall Adjectival Rating</t>
  </si>
  <si>
    <t>prof_ethics_rating</t>
  </si>
  <si>
    <t>gender_sensitivity_rating</t>
  </si>
  <si>
    <t>part2A_rating</t>
  </si>
  <si>
    <t>descriptive_rating2</t>
  </si>
  <si>
    <t>lc_leadingpeople_rating</t>
  </si>
  <si>
    <t>lc_peopleperf_rating</t>
  </si>
  <si>
    <t>lc_peopledev_rating</t>
  </si>
  <si>
    <t>descriptive_rating7</t>
  </si>
  <si>
    <t>part2B_rating</t>
  </si>
  <si>
    <t>indicators</t>
  </si>
  <si>
    <t>profstandards_rating</t>
  </si>
  <si>
    <t>teacherid2</t>
  </si>
  <si>
    <t>school_name2</t>
  </si>
  <si>
    <t>A. Professional Standards</t>
  </si>
  <si>
    <t>Indicator</t>
  </si>
  <si>
    <t>Results Focus</t>
  </si>
  <si>
    <t>Gender Sensitivity</t>
  </si>
  <si>
    <t>Modelled exemplary practice to improve the applications of content  knowledge within and across curriculum teaching areas.</t>
  </si>
  <si>
    <t>1.2.4</t>
  </si>
  <si>
    <t>Lead colleagues in the advancement of the art and science of teaching based on their comprehensive  knowledge of research and pedagogy.</t>
  </si>
  <si>
    <t>1.3.4</t>
  </si>
  <si>
    <t>Mentored colleagues in the implementation of policies to ensure the positive use of ICT within or beyond the school.</t>
  </si>
  <si>
    <t>Modelled a comprehensive selection of effective teaching strategies that promote learner achievement in literacy and numeracy.</t>
  </si>
  <si>
    <t>Lead colleagues in reviewing, modifying and  expanding their range of  teaching strategies that promote critical and creative  thinking, as well as other higher-order thinking skills.</t>
  </si>
  <si>
    <t>1.6.4</t>
  </si>
  <si>
    <t>Showed exemplary skills in  and advocate the use of  Mother Tongue, Filipino and  English in teaching and learning to facilitate the learners’ language, cognitive  and academic development  and to foster pride of their  language, heritage and culture.</t>
  </si>
  <si>
    <t>1.7.4</t>
  </si>
  <si>
    <t>Exhibited exemplary practice in the use of effective  verbal and non-verbal classroom communication strategies to support learner  understanding, participation, engagement and achievement  in different learning contexts.</t>
  </si>
  <si>
    <t>2.1.4</t>
  </si>
  <si>
    <t>Applied comprehensive  knowledge of and act as a resource person for, policies, guidelines and procedures that relate to the implementation of safe and secure learning environments for learners.</t>
  </si>
  <si>
    <t>2.2.4</t>
  </si>
  <si>
    <t>Advocated and facilitate the use of effective practices to foster learning environments that promote fairness, respect and care to encourage learning.</t>
  </si>
  <si>
    <t>Modelled exemplary practices in the management of classroom structure and  activities, and lead colleagues at the whole-school level to review and evaluate their practices.</t>
  </si>
  <si>
    <t>2.4.4</t>
  </si>
  <si>
    <t>Facilitated processes to review the effectiveness of the school’s learning environment to nurture and inspire learner participation.</t>
  </si>
  <si>
    <t>2.5.4</t>
  </si>
  <si>
    <t>Lead and empower colleagues in promoting learning environments that effectively motivate learners to achieve quality outcomes by  assuming responsibility for their own learning.</t>
  </si>
  <si>
    <t>Provided leadership in applying a wide range of strategies in the implementation of positive and  non-violent discipline  
policies/procedures to ensure  learning-focused environments.</t>
  </si>
  <si>
    <t>Lead colleagues to evaluate differentiated strategies to enrich teaching practices that address learners’  differences in gender, needs, strengths, interests and experiences.</t>
  </si>
  <si>
    <t>3.2.4</t>
  </si>
  <si>
    <t>Modelled exemplary teaching practices that recognize and affirm diverse  linguistic, cultural, socio economic and religious backgrounds to promote learner success.</t>
  </si>
  <si>
    <t>3.3.4</t>
  </si>
  <si>
    <t>Lead colleagues in designing, adapting and implementing teaching  
strategies that are responsive to learners with disabilities, giftedness and talents.</t>
  </si>
  <si>
    <t>3.4.4</t>
  </si>
  <si>
    <t>Modelled a range of high level skills responsive to the  special educational needs of learners in difficult circumstances, including:  geographic isolation; chronic illness; displacement due to armed conflict, urban resettlement or disasters; child  abuse and child labor  
practices.</t>
  </si>
  <si>
    <t>3.5.4</t>
  </si>
  <si>
    <t>Showed comprehensive skills in delivering culturally appropriate teaching strategies  to address effectively the needs of learners from  
indigenous groups.</t>
  </si>
  <si>
    <t>Modelled exemplary  practice and lead colleagues in enhancing current practices in the planning and management of developmentally sequenced teaching and learning process.</t>
  </si>
  <si>
    <t>4.2.4</t>
  </si>
  <si>
    <t>Exhibited high-level skills and lead in setting achievable and challenging learning outcomes that are aligned with learning competencies towards the cultivation of a culture of excellence for all.</t>
  </si>
  <si>
    <t>4.3.4</t>
  </si>
  <si>
    <t>Provided advice in the  design and implementation of  relevant and responsive learning programs that develop the knowledge and skills of learners at different ability levels.</t>
  </si>
  <si>
    <t xml:space="preserve">Lead colleagues in professional discussions to plan and implement strategies that enrich teaching practice. </t>
  </si>
  <si>
    <t>Modelled exemplary skills and lead colleagues in the development and evaluation of  teaching and learning resources, including ICT, for  use within and beyond the school.</t>
  </si>
  <si>
    <t>Lead initiatives in the  evaluation of assessment policies and guidelines that relate to the design, selection, organization and use of effective diagnostic, formative and summative assessment  strategies consistent with curriculum requirements.</t>
  </si>
  <si>
    <t>Provided advice on, and mentor colleagues in the effective analysis and use of learner attainment data.</t>
  </si>
  <si>
    <t>5.3.4</t>
  </si>
  <si>
    <t>Exhibited exemplary skills and lead initiatives to support  colleagues in applying strategies that effectively provide timely, accurate and constructive feedback to learners to improve learning  achievement.</t>
  </si>
  <si>
    <t>Shared with colleagues a wide range of strategies that ensure effective communication of learner needs, progress and  
achievement to key stakeholders, including parents/guardians.</t>
  </si>
  <si>
    <t>5.5.4</t>
  </si>
  <si>
    <t>Lead colleagues to explore, design and implement effective practices and programs using information derived from assessment data.</t>
  </si>
  <si>
    <t>6.1.4</t>
  </si>
  <si>
    <t>Modelled exemplary practice and empower colleagues to establish and maintain effective learning environments that are responsive to community contexts.</t>
  </si>
  <si>
    <t>6.2.4</t>
  </si>
  <si>
    <t>Lead in consolidating networks that strengthen relationships with  
parents/guardians and the wider school community to maximize their involvement in the educative process.</t>
  </si>
  <si>
    <t>6.3.4</t>
  </si>
  <si>
    <t>Lead colleagues in the regular review of existing codes, laws and regulations that apply to the teaching profession, and the responsibilities as specified in the Code of Ethics for Professional Teachers.</t>
  </si>
  <si>
    <t>6.4.4</t>
  </si>
  <si>
    <t>Evaluated existing school policies and procedures to make them more responsive to the needs of the learners, parents and other stakeholders.</t>
  </si>
  <si>
    <t>Modelled a learner-centered teaching philosophy through teaching practices that stimulate colleagues to engage in further professional learning.</t>
  </si>
  <si>
    <t>7.2.4</t>
  </si>
  <si>
    <t xml:space="preserve">Acted as a role model and  advocate for upholding the  dignity of teaching as a profession to build a positive teaching and learning culture within and beyond the school. </t>
  </si>
  <si>
    <t>7.3.4</t>
  </si>
  <si>
    <t>Took a leadership role in supporting colleagues’ engagement with professional networks within and across schools to advance knowledge and practice in identified areas of need.</t>
  </si>
  <si>
    <t>7.4.4</t>
  </si>
  <si>
    <t xml:space="preserve">Demonstrated leadership within and across school  
contexts in critically evaluating practice and setting clearly defined targets for professional development. </t>
  </si>
  <si>
    <t>Lead reforms in enhancing professional development programs based on an in-depth knowledge and understanding of the Philippine Professional  Standards for Teachers.</t>
  </si>
  <si>
    <t>D Indicators</t>
  </si>
  <si>
    <t>idp_strengths1</t>
  </si>
  <si>
    <t>idp_strengths2</t>
  </si>
  <si>
    <t>idp_strengths3</t>
  </si>
  <si>
    <t>idp_devneeds1</t>
  </si>
  <si>
    <t>idp_devneeds2</t>
  </si>
  <si>
    <t>idp_devneeds3</t>
  </si>
  <si>
    <t>core_strengths1</t>
  </si>
  <si>
    <t>core_strengths2</t>
  </si>
  <si>
    <t>core_strengths3</t>
  </si>
  <si>
    <t>core_devneeds1</t>
  </si>
  <si>
    <t>core_devneeds2</t>
  </si>
  <si>
    <t>core_devneeds3</t>
  </si>
  <si>
    <t>leadership_competencies_strengths</t>
  </si>
  <si>
    <t>leadership_competencies_needs</t>
  </si>
  <si>
    <t>If Teacher has a commitment form</t>
  </si>
  <si>
    <t>Part 2</t>
  </si>
  <si>
    <t>Part 3</t>
  </si>
  <si>
    <t>Part 4</t>
  </si>
  <si>
    <t>Part 1</t>
  </si>
  <si>
    <t>PART 2 - A: CORE  COMPETENCIES</t>
  </si>
  <si>
    <r>
      <rPr>
        <b/>
        <u/>
        <sz val="12"/>
        <color rgb="FF000000"/>
        <rFont val="Arial"/>
        <family val="2"/>
      </rPr>
      <t xml:space="preserve">PART 2 - B:  LEADERSHIP COMPETENCIES (2.5%)
</t>
    </r>
    <r>
      <rPr>
        <sz val="12"/>
        <color rgb="FF000000"/>
        <rFont val="Arial"/>
        <family val="2"/>
      </rPr>
      <t xml:space="preserve">         </t>
    </r>
    <r>
      <rPr>
        <i/>
        <sz val="11"/>
        <color rgb="FF000000"/>
        <rFont val="Arial Narrow"/>
        <family val="2"/>
      </rPr>
      <t>Note: This Form is to be accomplished by the RATER.</t>
    </r>
    <r>
      <rPr>
        <b/>
        <u/>
        <sz val="12"/>
        <color rgb="FF000000"/>
        <rFont val="Arial Narrow"/>
        <family val="2"/>
      </rPr>
      <t xml:space="preserve">
</t>
    </r>
    <r>
      <rPr>
        <b/>
        <i/>
        <sz val="12"/>
        <color rgb="FF000000"/>
        <rFont val="Arial Narrow"/>
        <family val="2"/>
      </rPr>
      <t xml:space="preserve">Part II - B. Leadership Competencies shall capture competencies expected of heads of functional offices who hold managerial and executive/supervisory positions. The Leadership Competencies expected to be demonstrated include Leading People, People Performance Management, and People Development.  </t>
    </r>
  </si>
  <si>
    <t>* For privacy, ratee / rater may hide/unhide their respective IPCRF Forms</t>
  </si>
  <si>
    <t>Indicator 1 - 1.1.3</t>
  </si>
  <si>
    <t>Indicator 2 - 1.4.3</t>
  </si>
  <si>
    <t>Indicator 3 - 1.5.3</t>
  </si>
  <si>
    <t>Indicator 4 - 2.3.3</t>
  </si>
  <si>
    <t>Indicator 5 - 2.6.3</t>
  </si>
  <si>
    <t>Indicator 6 - 3.1.3</t>
  </si>
  <si>
    <t>Indicator 7 - 4.1.3</t>
  </si>
  <si>
    <t>Indicator 8 - 4.4.3</t>
  </si>
  <si>
    <t>Indicator 9 - 4.5.3</t>
  </si>
  <si>
    <t>Indicator 10 - 5.1.3</t>
  </si>
  <si>
    <t>Indicator 11 - 5.2.3</t>
  </si>
  <si>
    <t>Indicator 12 - 5.4.3</t>
  </si>
  <si>
    <t>Indicator 13 - 7.1.3</t>
  </si>
  <si>
    <t>Indicator 14 - 7.5.3</t>
  </si>
  <si>
    <t>Indicator 1 - 1.1.4</t>
  </si>
  <si>
    <t>Indicator 2 - 1.4.4</t>
  </si>
  <si>
    <t>Indicator 3 - 1.5.4</t>
  </si>
  <si>
    <t>Indicator 4 - 2.3.4</t>
  </si>
  <si>
    <t>Indicator 5 - 2.6.4</t>
  </si>
  <si>
    <t>Indicator 6 - 3.1.4</t>
  </si>
  <si>
    <t>Indicator 7 - 4.1.4</t>
  </si>
  <si>
    <t>Indicator 8 - 4.4.4</t>
  </si>
  <si>
    <t>Indicator 9 - 4.5.4</t>
  </si>
  <si>
    <t>Indicator 10 - 5.1.4</t>
  </si>
  <si>
    <t>Indicator 11 - 5.2.4</t>
  </si>
  <si>
    <t>Indicator 12 - 5.4.4</t>
  </si>
  <si>
    <t>Indicator 13 - 7.1.4</t>
  </si>
  <si>
    <t>Indicator 14 - 7.5.4</t>
  </si>
  <si>
    <t>COT2_status</t>
  </si>
  <si>
    <t>COT3_status</t>
  </si>
  <si>
    <t>COT4_status</t>
  </si>
  <si>
    <t>Negros Island Region (NIR)</t>
  </si>
  <si>
    <t>NIR</t>
  </si>
  <si>
    <t>NIR-01</t>
  </si>
  <si>
    <t>NIR-02</t>
  </si>
  <si>
    <t>NIR-03</t>
  </si>
  <si>
    <t>NIR-04</t>
  </si>
  <si>
    <t>NIR-05</t>
  </si>
  <si>
    <t>NIR-06</t>
  </si>
  <si>
    <t>NIR-07</t>
  </si>
  <si>
    <t>NIR-08</t>
  </si>
  <si>
    <t>NIR-09</t>
  </si>
  <si>
    <t>NIR-10</t>
  </si>
  <si>
    <t>NIR-11</t>
  </si>
  <si>
    <t>NIR-12</t>
  </si>
  <si>
    <t>NIR-13</t>
  </si>
  <si>
    <t>NIR-14</t>
  </si>
  <si>
    <t>NIR-15</t>
  </si>
  <si>
    <t>NIR-16</t>
  </si>
  <si>
    <t>NIR-17</t>
  </si>
  <si>
    <t>NIR-18</t>
  </si>
  <si>
    <t>NIR-19</t>
  </si>
  <si>
    <t>NIR-20</t>
  </si>
  <si>
    <t>NIR-21</t>
  </si>
  <si>
    <t>NIR-22</t>
  </si>
  <si>
    <t>NIR_divlist</t>
  </si>
  <si>
    <t>NIR_vlookup</t>
  </si>
  <si>
    <t>Region XIII</t>
  </si>
  <si>
    <t>Iloilo</t>
  </si>
  <si>
    <t>REG9-09</t>
  </si>
  <si>
    <t>Sulu</t>
  </si>
  <si>
    <t>BABAG NATIONAL HIGH SCHOOL- SHS</t>
  </si>
  <si>
    <t>DEGOLLACION</t>
  </si>
  <si>
    <t>EJONIE</t>
  </si>
  <si>
    <t>GUNOBGUNOB</t>
  </si>
  <si>
    <t>ejonie.degollacion@deped.gov.ph</t>
  </si>
  <si>
    <t>BUSINESS MATH, BUSINESS ETHICS, ENTREP</t>
  </si>
  <si>
    <t>303172</t>
  </si>
  <si>
    <t>GLORIFEL</t>
  </si>
  <si>
    <t>BERMEJO</t>
  </si>
  <si>
    <t>glorifel.sare@deped.gov.ph</t>
  </si>
  <si>
    <t>SAREÑO</t>
  </si>
  <si>
    <t>BABATU-ON</t>
  </si>
  <si>
    <t>NICKJON</t>
  </si>
  <si>
    <t>CAÑETE</t>
  </si>
  <si>
    <t>nickjon.babatuon002@deped.gov.ph</t>
  </si>
  <si>
    <t>To improve the ability to design and implement differentiated learning activities suited to learners’ abilities, interests, and needs.</t>
  </si>
  <si>
    <t>Attend LAC session/training on differentiated instruction; prepare lesson plans with varied activities; seek mentoring/coaching from master teacher or department head.</t>
  </si>
  <si>
    <t>June 2026 – March 2027</t>
  </si>
  <si>
    <t>LAC materials, PPST guide, lesson plan templates, learners’ profile, ICT resources</t>
  </si>
  <si>
    <t>To enhance skills in preparing and using appropriate assessment tools to monitor learner progress and improve instruction.</t>
  </si>
  <si>
    <t>Participate in assessment-related INSET/LAC; develop diagnostic, formative, and summative assessment tools; conduct item analysis and use results for remediation/enrichment.</t>
  </si>
  <si>
    <t>Assessment tools, MELCs/CG, rubrics, test construction guides, learner outputs</t>
  </si>
  <si>
    <t>To strengthen the use of learner performance data in tracking progress, identifying learning gaps, and planning appropriate interventions.</t>
  </si>
  <si>
    <t>Maintain learner progress records; analyze assessment results; prepare intervention/remediation plans; consult with mentor/rater for feedback.</t>
  </si>
  <si>
    <t>Quarterly / Whole School Year</t>
  </si>
  <si>
    <t>Class records, assessment results, intervention plan templates, Excel/data tracking sheets</t>
  </si>
  <si>
    <t>To improve collaboration and active participation in school-based activities, programs, and team tasks.</t>
  </si>
  <si>
    <t>Join committee work, LAC sessions, and collaborative planning; share teaching practices and resources with colleagues.</t>
  </si>
  <si>
    <t>Whole School Year</t>
  </si>
  <si>
    <t>School activity plans, LAC schedule, collaboration tools, meeting minutes.</t>
  </si>
  <si>
    <t>To enhance responsiveness to learners, parents, colleagues, and stakeholders through timely and respectful service.</t>
  </si>
  <si>
    <t>Attend orientation/training on client-centered service; respond promptly to learner and parent concerns; participate in school and community activities.</t>
  </si>
  <si>
    <t>School policies, communication platforms, parent-teacher conference records</t>
  </si>
  <si>
    <t>To develop creative and innovative teaching strategies that support learner engagement and improved performance.</t>
  </si>
  <si>
    <t>Integrate ICT-based activities, localized materials, and learner-centered strategies; document innovative practices for sharing during LAC.</t>
  </si>
  <si>
    <t>ICT tools, internet resources, printed/localized materials, sample innovative lesson plans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</si>
</sst>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
    <numFmt numFmtId="166" formatCode="[$-409]mmmm\ d\,\ yyyy;@"/>
    <numFmt numFmtId="167" formatCode="0.0%"/>
    <numFmt numFmtId="168" formatCode="yyyy\-mm\-dd;@"/>
    <numFmt numFmtId="169" formatCode="[$-3409]mmmm\ dd\,\ yyyy;@"/>
  </numFmts>
  <fonts count="109">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0"/>
      <name val="Calibri"/>
      <family val="2"/>
      <scheme val="minor"/>
    </font>
    <font>
      <b/>
      <sz val="12"/>
      <color rgb="FF000000"/>
      <name val="Arial Narrow"/>
      <family val="2"/>
    </font>
    <font>
      <b/>
      <sz val="12"/>
      <color rgb="FF000000"/>
      <name val="Arial"/>
      <family val="2"/>
    </font>
    <font>
      <sz val="12"/>
      <color rgb="FF000000"/>
      <name val="Arial"/>
      <family val="2"/>
    </font>
    <font>
      <b/>
      <sz val="24"/>
      <color theme="1"/>
      <name val="Calibri"/>
      <family val="2"/>
    </font>
    <font>
      <sz val="14"/>
      <color theme="1"/>
      <name val="Calibri"/>
      <family val="2"/>
      <scheme val="minor"/>
    </font>
    <font>
      <b/>
      <sz val="14"/>
      <color theme="1"/>
      <name val="Calibri"/>
      <family val="2"/>
      <scheme val="minor"/>
    </font>
    <font>
      <b/>
      <sz val="14"/>
      <color rgb="FF000000"/>
      <name val="Calibri"/>
      <family val="2"/>
    </font>
    <font>
      <sz val="11"/>
      <color theme="1"/>
      <name val="Arial"/>
      <family val="2"/>
    </font>
    <font>
      <sz val="10"/>
      <color rgb="FF000000"/>
      <name val="Arial Narrow"/>
      <family val="2"/>
    </font>
    <font>
      <sz val="10"/>
      <color theme="1"/>
      <name val="Arial Narrow"/>
      <family val="2"/>
    </font>
    <font>
      <sz val="11"/>
      <color theme="1"/>
      <name val="Arial Narrow"/>
      <family val="2"/>
    </font>
    <font>
      <sz val="10"/>
      <name val="Arial Narrow"/>
      <family val="2"/>
    </font>
    <font>
      <b/>
      <sz val="10"/>
      <color rgb="FF000000"/>
      <name val="Arial Narrow"/>
      <family val="2"/>
    </font>
    <font>
      <sz val="11"/>
      <color rgb="FF000000"/>
      <name val="Times New Roman"/>
      <family val="1"/>
    </font>
    <font>
      <b/>
      <sz val="14"/>
      <color theme="1"/>
      <name val="Arial"/>
      <family val="2"/>
    </font>
    <font>
      <b/>
      <u/>
      <sz val="12"/>
      <color rgb="FF000000"/>
      <name val="Arial"/>
      <family val="2"/>
    </font>
    <font>
      <b/>
      <u/>
      <sz val="12"/>
      <color rgb="FF000000"/>
      <name val="Arial Narrow"/>
      <family val="2"/>
    </font>
    <font>
      <b/>
      <i/>
      <sz val="12"/>
      <color rgb="FF000000"/>
      <name val="Arial Narrow"/>
      <family val="2"/>
    </font>
    <font>
      <sz val="11"/>
      <name val="Calibri"/>
      <family val="2"/>
    </font>
    <font>
      <sz val="9"/>
      <color theme="1"/>
      <name val="Arial Narrow"/>
      <family val="2"/>
    </font>
    <font>
      <b/>
      <sz val="12"/>
      <color theme="1"/>
      <name val="Arial Narrow"/>
      <family val="2"/>
    </font>
    <font>
      <b/>
      <sz val="22"/>
      <color rgb="FF000000"/>
      <name val="Calibri"/>
      <family val="2"/>
    </font>
    <font>
      <b/>
      <sz val="24"/>
      <color theme="1"/>
      <name val="Calibri"/>
      <family val="2"/>
      <scheme val="minor"/>
    </font>
    <font>
      <sz val="13"/>
      <color theme="1"/>
      <name val="Arial"/>
      <family val="2"/>
    </font>
    <font>
      <b/>
      <sz val="18"/>
      <color theme="1"/>
      <name val="Arial"/>
      <family val="2"/>
    </font>
    <font>
      <sz val="12"/>
      <color theme="1"/>
      <name val="Arial"/>
      <family val="2"/>
    </font>
    <font>
      <b/>
      <sz val="16"/>
      <color theme="1"/>
      <name val="Arial"/>
      <family val="2"/>
    </font>
    <font>
      <sz val="12"/>
      <name val="Arial"/>
      <family val="2"/>
    </font>
    <font>
      <sz val="11"/>
      <color rgb="FF000000"/>
      <name val="Bookman Old Style"/>
      <family val="1"/>
    </font>
    <font>
      <b/>
      <sz val="15"/>
      <color theme="1"/>
      <name val="Arial"/>
      <family val="2"/>
    </font>
    <font>
      <b/>
      <sz val="13"/>
      <color theme="1"/>
      <name val="Arial"/>
      <family val="2"/>
    </font>
    <font>
      <b/>
      <sz val="11"/>
      <color theme="1"/>
      <name val="Arial"/>
      <family val="2"/>
    </font>
    <font>
      <b/>
      <sz val="12"/>
      <color theme="1"/>
      <name val="Arial"/>
      <family val="2"/>
    </font>
    <font>
      <sz val="10"/>
      <color theme="1"/>
      <name val="Arial"/>
      <family val="2"/>
    </font>
    <font>
      <sz val="15"/>
      <color theme="1"/>
      <name val="Arial"/>
      <family val="2"/>
    </font>
    <font>
      <b/>
      <sz val="12.5"/>
      <color theme="1"/>
      <name val="Arial"/>
      <family val="2"/>
    </font>
    <font>
      <b/>
      <sz val="11"/>
      <color theme="1"/>
      <name val="Calibri"/>
      <family val="2"/>
      <scheme val="minor"/>
    </font>
    <font>
      <b/>
      <sz val="14"/>
      <color rgb="FF000000"/>
      <name val="Calibri"/>
      <family val="2"/>
      <scheme val="minor"/>
    </font>
    <font>
      <b/>
      <sz val="12"/>
      <color rgb="FF000000"/>
      <name val="Calibri"/>
      <family val="2"/>
      <scheme val="minor"/>
    </font>
    <font>
      <b/>
      <sz val="12"/>
      <color theme="1"/>
      <name val="Calibri"/>
      <family val="2"/>
      <scheme val="minor"/>
    </font>
    <font>
      <sz val="11"/>
      <color rgb="FF000000"/>
      <name val="Arial"/>
      <family val="2"/>
    </font>
    <font>
      <i/>
      <sz val="11"/>
      <color theme="1"/>
      <name val="Calibri"/>
      <family val="2"/>
      <scheme val="minor"/>
    </font>
    <font>
      <i/>
      <sz val="11"/>
      <color theme="1"/>
      <name val="Bookman Old Style"/>
      <family val="1"/>
    </font>
    <font>
      <sz val="12"/>
      <color theme="1"/>
      <name val="Calibri"/>
      <family val="2"/>
      <scheme val="minor"/>
    </font>
    <font>
      <sz val="11"/>
      <color rgb="FF000000"/>
      <name val="Calibri"/>
      <family val="2"/>
      <scheme val="minor"/>
    </font>
    <font>
      <sz val="20"/>
      <color theme="1"/>
      <name val="Calibri"/>
      <family val="2"/>
    </font>
    <font>
      <b/>
      <sz val="36"/>
      <color theme="1"/>
      <name val="Calibri"/>
      <family val="2"/>
    </font>
    <font>
      <b/>
      <sz val="18"/>
      <color rgb="FF000000"/>
      <name val="Calibri"/>
      <family val="2"/>
    </font>
    <font>
      <u/>
      <sz val="13"/>
      <color theme="1"/>
      <name val="Arial"/>
      <family val="2"/>
    </font>
    <font>
      <sz val="8"/>
      <color theme="1"/>
      <name val="Arial"/>
      <family val="2"/>
    </font>
    <font>
      <i/>
      <sz val="12"/>
      <color rgb="FFC00000"/>
      <name val="Arial"/>
      <family val="2"/>
    </font>
    <font>
      <sz val="13"/>
      <color rgb="FFFF0000"/>
      <name val="Arial"/>
      <family val="2"/>
    </font>
    <font>
      <sz val="9"/>
      <color theme="1" tint="0.34998626667073579"/>
      <name val="Arial"/>
      <family val="2"/>
    </font>
    <font>
      <i/>
      <sz val="9"/>
      <color theme="1" tint="0.34998626667073579"/>
      <name val="Arial"/>
      <family val="2"/>
    </font>
    <font>
      <u/>
      <sz val="11"/>
      <color theme="10"/>
      <name val="Calibri"/>
      <family val="2"/>
      <scheme val="minor"/>
    </font>
    <font>
      <i/>
      <sz val="11"/>
      <color rgb="FFC00000"/>
      <name val="Arial"/>
      <family val="2"/>
    </font>
    <font>
      <b/>
      <i/>
      <sz val="11"/>
      <color rgb="FFC00000"/>
      <name val="Arial"/>
      <family val="2"/>
    </font>
    <font>
      <b/>
      <sz val="12"/>
      <color rgb="FFFF0000"/>
      <name val="Arial"/>
      <family val="2"/>
    </font>
    <font>
      <b/>
      <sz val="28"/>
      <color theme="1"/>
      <name val="Calibri"/>
      <family val="2"/>
    </font>
    <font>
      <b/>
      <sz val="16"/>
      <color rgb="FF000000"/>
      <name val="Calibri"/>
      <family val="2"/>
    </font>
    <font>
      <b/>
      <sz val="20"/>
      <color theme="1"/>
      <name val="Arial"/>
      <family val="2"/>
    </font>
    <font>
      <b/>
      <sz val="14"/>
      <color rgb="FFC00000"/>
      <name val="Arial"/>
      <family val="2"/>
    </font>
    <font>
      <sz val="20"/>
      <color theme="1"/>
      <name val="Arial"/>
      <family val="2"/>
    </font>
    <font>
      <i/>
      <sz val="13"/>
      <color theme="1"/>
      <name val="Arial"/>
      <family val="2"/>
    </font>
    <font>
      <b/>
      <sz val="20"/>
      <color rgb="FF000000"/>
      <name val="Calibri"/>
      <family val="2"/>
    </font>
    <font>
      <sz val="7.5"/>
      <color theme="1"/>
      <name val="Arial"/>
      <family val="2"/>
    </font>
    <font>
      <b/>
      <u/>
      <sz val="12"/>
      <color theme="1"/>
      <name val="Arial Narrow"/>
      <family val="2"/>
    </font>
    <font>
      <b/>
      <sz val="12"/>
      <color rgb="FFFF0000"/>
      <name val="Arial Narrow"/>
      <family val="2"/>
    </font>
    <font>
      <b/>
      <sz val="14"/>
      <color theme="1"/>
      <name val="Arial Narrow"/>
      <family val="2"/>
    </font>
    <font>
      <b/>
      <sz val="11"/>
      <color theme="1"/>
      <name val="Arial Narrow"/>
      <family val="2"/>
    </font>
    <font>
      <sz val="9"/>
      <color rgb="FF000000"/>
      <name val="Arial Narrow"/>
      <family val="2"/>
    </font>
    <font>
      <sz val="8"/>
      <color rgb="FF000000"/>
      <name val="Arial Narrow"/>
      <family val="2"/>
    </font>
    <font>
      <b/>
      <i/>
      <sz val="10.5"/>
      <color theme="1"/>
      <name val="Arial Narrow"/>
      <family val="2"/>
    </font>
    <font>
      <b/>
      <u/>
      <sz val="18"/>
      <color theme="1"/>
      <name val="Arial"/>
      <family val="2"/>
    </font>
    <font>
      <b/>
      <i/>
      <sz val="13"/>
      <color theme="1"/>
      <name val="Arial"/>
      <family val="2"/>
    </font>
    <font>
      <i/>
      <sz val="11"/>
      <color rgb="FF000000"/>
      <name val="Arial Narrow"/>
      <family val="2"/>
    </font>
    <font>
      <sz val="10"/>
      <color rgb="FF000000"/>
      <name val="Times New Roman"/>
      <family val="1"/>
    </font>
    <font>
      <u/>
      <sz val="10"/>
      <color theme="10"/>
      <name val="Times New Roman"/>
      <family val="1"/>
    </font>
    <font>
      <b/>
      <sz val="11"/>
      <color theme="0"/>
      <name val="Calibri"/>
      <family val="2"/>
      <scheme val="minor"/>
    </font>
    <font>
      <b/>
      <sz val="13"/>
      <color theme="1"/>
      <name val="Arial Narrow"/>
      <family val="2"/>
    </font>
    <font>
      <b/>
      <sz val="13"/>
      <color rgb="FFFF0000"/>
      <name val="Arial Narrow"/>
      <family val="2"/>
    </font>
    <font>
      <b/>
      <sz val="18"/>
      <color theme="1"/>
      <name val="Calibri"/>
      <family val="2"/>
      <scheme val="minor"/>
    </font>
    <font>
      <sz val="18"/>
      <color theme="1"/>
      <name val="Calibri"/>
      <family val="2"/>
      <scheme val="minor"/>
    </font>
    <font>
      <b/>
      <sz val="20"/>
      <color theme="1"/>
      <name val="Calibri"/>
      <family val="2"/>
      <scheme val="minor"/>
    </font>
    <font>
      <sz val="10"/>
      <color rgb="FF000000"/>
      <name val="Ca;ibri"/>
    </font>
    <font>
      <b/>
      <sz val="10"/>
      <color theme="1"/>
      <name val="Ca;ibri"/>
    </font>
    <font>
      <sz val="10"/>
      <color theme="1"/>
      <name val="Ca;ibri"/>
    </font>
    <font>
      <sz val="14"/>
      <color theme="1"/>
      <name val="Arial"/>
      <family val="2"/>
    </font>
    <font>
      <sz val="10"/>
      <name val="Arial"/>
      <family val="2"/>
    </font>
    <font>
      <b/>
      <sz val="10"/>
      <color rgb="FF000000"/>
      <name val="Calibri"/>
      <family val="2"/>
      <scheme val="minor"/>
    </font>
    <font>
      <i/>
      <sz val="8"/>
      <color rgb="FF000000"/>
      <name val="Calibri"/>
      <family val="2"/>
      <scheme val="minor"/>
    </font>
    <font>
      <i/>
      <sz val="11"/>
      <color theme="1"/>
      <name val="Arial Narrow"/>
      <family val="2"/>
    </font>
    <font>
      <sz val="10"/>
      <color rgb="FF000000"/>
      <name val="Times New Roman"/>
      <family val="1"/>
      <charset val="204"/>
    </font>
    <font>
      <sz val="8"/>
      <name val="Times New Roman"/>
      <family val="1"/>
    </font>
    <font>
      <b/>
      <sz val="18"/>
      <color theme="4"/>
      <name val="Times New Roman"/>
      <family val="1"/>
    </font>
    <font>
      <u/>
      <sz val="14"/>
      <color theme="10"/>
      <name val="Arial"/>
      <family val="2"/>
    </font>
    <font>
      <i/>
      <sz val="13"/>
      <color rgb="FF000000"/>
      <name val="Arial"/>
      <family val="2"/>
    </font>
  </fonts>
  <fills count="19">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theme="0"/>
      </patternFill>
    </fill>
    <fill>
      <patternFill patternType="solid">
        <fgColor theme="0"/>
        <bgColor rgb="FFD8D8D8"/>
      </patternFill>
    </fill>
    <fill>
      <patternFill patternType="solid">
        <fgColor theme="0"/>
        <bgColor rgb="FFDADADA"/>
      </patternFill>
    </fill>
    <fill>
      <patternFill patternType="solid">
        <fgColor theme="0" tint="-0.14999847407452621"/>
        <bgColor indexed="64"/>
      </patternFill>
    </fill>
    <fill>
      <patternFill patternType="solid">
        <fgColor theme="8" tint="0.79998168889431442"/>
        <bgColor indexed="64"/>
      </patternFill>
    </fill>
    <fill>
      <patternFill patternType="solid">
        <fgColor rgb="FFD9D9D9"/>
        <bgColor indexed="64"/>
      </patternFill>
    </fill>
    <fill>
      <patternFill patternType="solid">
        <fgColor theme="9" tint="0.399975585192419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BE2D1"/>
        <bgColor indexed="64"/>
      </patternFill>
    </fill>
    <fill>
      <patternFill patternType="solid">
        <fgColor rgb="FFA9D08E"/>
        <bgColor indexed="64"/>
      </patternFill>
    </fill>
    <fill>
      <patternFill patternType="solid">
        <fgColor rgb="FFBDD7EE"/>
        <bgColor indexed="64"/>
      </patternFill>
    </fill>
    <fill>
      <patternFill patternType="solid">
        <fgColor theme="0" tint="-0.14996795556505021"/>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000000"/>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bottom style="thin">
        <color auto="1"/>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thin">
        <color indexed="64"/>
      </left>
      <right style="medium">
        <color indexed="64"/>
      </right>
      <top/>
      <bottom style="thin">
        <color indexed="64"/>
      </bottom>
      <diagonal/>
    </border>
    <border>
      <left style="medium">
        <color indexed="64"/>
      </left>
      <right/>
      <top/>
      <bottom style="thin">
        <color auto="1"/>
      </bottom>
      <diagonal/>
    </border>
    <border>
      <left style="medium">
        <color indexed="64"/>
      </left>
      <right/>
      <top style="thin">
        <color auto="1"/>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rgb="FF000000"/>
      </right>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thin">
        <color auto="1"/>
      </top>
      <bottom/>
      <diagonal/>
    </border>
    <border>
      <left/>
      <right style="thin">
        <color indexed="64"/>
      </right>
      <top style="thin">
        <color indexed="64"/>
      </top>
      <bottom/>
      <diagonal/>
    </border>
    <border>
      <left/>
      <right style="thin">
        <color indexed="64"/>
      </right>
      <top/>
      <bottom/>
      <diagonal/>
    </border>
    <border>
      <left/>
      <right/>
      <top/>
      <bottom style="thin">
        <color auto="1"/>
      </bottom>
      <diagonal/>
    </border>
    <border>
      <left/>
      <right style="thin">
        <color indexed="64"/>
      </right>
      <top/>
      <bottom style="thin">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auto="1"/>
      </right>
      <top style="thin">
        <color auto="1"/>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style="thick">
        <color rgb="FF395E89"/>
      </left>
      <right/>
      <top style="thick">
        <color rgb="FF395E89"/>
      </top>
      <bottom/>
      <diagonal/>
    </border>
    <border>
      <left/>
      <right/>
      <top style="thick">
        <color rgb="FF395E89"/>
      </top>
      <bottom/>
      <diagonal/>
    </border>
    <border>
      <left/>
      <right style="thick">
        <color rgb="FF395E89"/>
      </right>
      <top style="thick">
        <color rgb="FF395E89"/>
      </top>
      <bottom/>
      <diagonal/>
    </border>
    <border>
      <left style="thick">
        <color rgb="FF395E89"/>
      </left>
      <right/>
      <top/>
      <bottom/>
      <diagonal/>
    </border>
    <border>
      <left/>
      <right style="thick">
        <color rgb="FF395E89"/>
      </right>
      <top/>
      <bottom/>
      <diagonal/>
    </border>
    <border>
      <left style="thick">
        <color rgb="FF395E89"/>
      </left>
      <right/>
      <top/>
      <bottom style="thick">
        <color rgb="FF395E89"/>
      </bottom>
      <diagonal/>
    </border>
    <border>
      <left/>
      <right/>
      <top/>
      <bottom style="thick">
        <color rgb="FF395E89"/>
      </bottom>
      <diagonal/>
    </border>
    <border>
      <left/>
      <right style="thick">
        <color rgb="FF395E89"/>
      </right>
      <top/>
      <bottom style="thick">
        <color rgb="FF395E89"/>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medium">
        <color indexed="64"/>
      </left>
      <right style="medium">
        <color indexed="64"/>
      </right>
      <top style="medium">
        <color indexed="64"/>
      </top>
      <bottom style="thin">
        <color auto="1"/>
      </bottom>
      <diagonal/>
    </border>
    <border>
      <left style="medium">
        <color theme="1"/>
      </left>
      <right style="thin">
        <color theme="1"/>
      </right>
      <top style="thin">
        <color theme="1"/>
      </top>
      <bottom style="thin">
        <color theme="1"/>
      </bottom>
      <diagonal/>
    </border>
    <border>
      <left style="medium">
        <color indexed="64"/>
      </left>
      <right style="medium">
        <color auto="1"/>
      </right>
      <top style="thin">
        <color auto="1"/>
      </top>
      <bottom style="thin">
        <color auto="1"/>
      </bottom>
      <diagonal/>
    </border>
    <border>
      <left style="medium">
        <color theme="1"/>
      </left>
      <right style="thin">
        <color theme="1"/>
      </right>
      <top style="thin">
        <color theme="1"/>
      </top>
      <bottom/>
      <diagonal/>
    </border>
    <border>
      <left style="thin">
        <color theme="1"/>
      </left>
      <right style="medium">
        <color indexed="64"/>
      </right>
      <top style="thin">
        <color theme="1"/>
      </top>
      <bottom style="thin">
        <color theme="1"/>
      </bottom>
      <diagonal/>
    </border>
    <border>
      <left style="medium">
        <color theme="1"/>
      </left>
      <right style="thin">
        <color theme="1"/>
      </right>
      <top/>
      <bottom style="thin">
        <color theme="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right/>
      <top/>
      <bottom style="slantDashDot">
        <color auto="1"/>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bottom style="thin">
        <color rgb="FF00000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auto="1"/>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medium">
        <color indexed="64"/>
      </right>
      <top style="thin">
        <color indexed="64"/>
      </top>
      <bottom/>
      <diagonal/>
    </border>
    <border>
      <left style="thin">
        <color rgb="FF000000"/>
      </left>
      <right/>
      <top/>
      <bottom style="medium">
        <color indexed="64"/>
      </bottom>
      <diagonal/>
    </border>
    <border>
      <left style="medium">
        <color indexed="64"/>
      </left>
      <right style="medium">
        <color indexed="64"/>
      </right>
      <top style="thin">
        <color auto="1"/>
      </top>
      <bottom/>
      <diagonal/>
    </border>
  </borders>
  <cellStyleXfs count="9">
    <xf numFmtId="0" fontId="0" fillId="0" borderId="0"/>
    <xf numFmtId="0" fontId="10" fillId="0" borderId="0"/>
    <xf numFmtId="0" fontId="9" fillId="0" borderId="0"/>
    <xf numFmtId="0" fontId="8" fillId="0" borderId="0"/>
    <xf numFmtId="0" fontId="7" fillId="0" borderId="0"/>
    <xf numFmtId="0" fontId="55" fillId="0" borderId="0"/>
    <xf numFmtId="0" fontId="7" fillId="0" borderId="0"/>
    <xf numFmtId="0" fontId="66" fillId="0" borderId="0" applyNumberFormat="0" applyFill="0" applyBorder="0" applyAlignment="0" applyProtection="0"/>
    <xf numFmtId="0" fontId="89" fillId="0" borderId="0" applyNumberFormat="0" applyFill="0" applyBorder="0" applyAlignment="0" applyProtection="0"/>
  </cellStyleXfs>
  <cellXfs count="1120">
    <xf numFmtId="0" fontId="0" fillId="0" borderId="0" xfId="0"/>
    <xf numFmtId="0" fontId="19" fillId="6" borderId="9" xfId="2" applyFont="1" applyFill="1" applyBorder="1" applyAlignment="1" applyProtection="1">
      <alignment horizontal="center" vertical="center"/>
      <protection locked="0"/>
    </xf>
    <xf numFmtId="0" fontId="19" fillId="6" borderId="11" xfId="2" applyFont="1" applyFill="1" applyBorder="1" applyAlignment="1" applyProtection="1">
      <alignment horizontal="center" vertical="center"/>
      <protection locked="0"/>
    </xf>
    <xf numFmtId="0" fontId="19" fillId="6" borderId="13" xfId="2" applyFont="1" applyFill="1" applyBorder="1" applyAlignment="1" applyProtection="1">
      <alignment horizontal="center" vertical="center"/>
      <protection locked="0"/>
    </xf>
    <xf numFmtId="0" fontId="7" fillId="0" borderId="0" xfId="4"/>
    <xf numFmtId="0" fontId="7" fillId="0" borderId="0" xfId="4" applyAlignment="1">
      <alignment horizontal="center"/>
    </xf>
    <xf numFmtId="0" fontId="48" fillId="0" borderId="0" xfId="4" applyFont="1"/>
    <xf numFmtId="0" fontId="48" fillId="0" borderId="0" xfId="4" applyFont="1" applyAlignment="1">
      <alignment horizontal="center"/>
    </xf>
    <xf numFmtId="0" fontId="51" fillId="0" borderId="0" xfId="5" applyFont="1"/>
    <xf numFmtId="0" fontId="55" fillId="0" borderId="0" xfId="5"/>
    <xf numFmtId="0" fontId="55" fillId="4" borderId="0" xfId="5" applyFill="1"/>
    <xf numFmtId="0" fontId="7" fillId="4" borderId="0" xfId="4" applyFill="1"/>
    <xf numFmtId="0" fontId="56" fillId="0" borderId="0" xfId="4" applyFont="1"/>
    <xf numFmtId="0" fontId="56" fillId="4" borderId="0" xfId="4" applyFont="1" applyFill="1"/>
    <xf numFmtId="0" fontId="7" fillId="0" borderId="0" xfId="6"/>
    <xf numFmtId="0" fontId="7" fillId="0" borderId="0" xfId="6" applyAlignment="1">
      <alignment vertical="center"/>
    </xf>
    <xf numFmtId="0" fontId="16" fillId="0" borderId="0" xfId="6" applyFont="1"/>
    <xf numFmtId="0" fontId="58" fillId="0" borderId="0" xfId="6" applyFont="1" applyAlignment="1">
      <alignment vertical="top" wrapText="1"/>
    </xf>
    <xf numFmtId="0" fontId="34" fillId="0" borderId="0" xfId="6" applyFont="1" applyAlignment="1">
      <alignment vertical="top" wrapText="1"/>
    </xf>
    <xf numFmtId="0" fontId="60" fillId="0" borderId="0" xfId="6" applyFont="1"/>
    <xf numFmtId="0" fontId="35" fillId="0" borderId="0" xfId="6" applyFont="1"/>
    <xf numFmtId="0" fontId="34" fillId="0" borderId="0" xfId="6" applyFont="1" applyAlignment="1">
      <alignment horizontal="center" vertical="top" wrapText="1"/>
    </xf>
    <xf numFmtId="0" fontId="36" fillId="0" borderId="0" xfId="6" applyFont="1" applyAlignment="1">
      <alignment vertical="center"/>
    </xf>
    <xf numFmtId="0" fontId="61" fillId="0" borderId="0" xfId="6" applyFont="1"/>
    <xf numFmtId="0" fontId="42" fillId="0" borderId="0" xfId="6" applyFont="1" applyAlignment="1">
      <alignment horizontal="center" vertical="center"/>
    </xf>
    <xf numFmtId="0" fontId="36" fillId="0" borderId="0" xfId="6" applyFont="1" applyAlignment="1">
      <alignment horizontal="left" vertical="center"/>
    </xf>
    <xf numFmtId="0" fontId="62" fillId="0" borderId="0" xfId="6" applyFont="1" applyAlignment="1">
      <alignment horizontal="left"/>
    </xf>
    <xf numFmtId="0" fontId="37" fillId="0" borderId="0" xfId="6" applyFont="1"/>
    <xf numFmtId="0" fontId="63" fillId="0" borderId="2" xfId="6" applyFont="1" applyBorder="1"/>
    <xf numFmtId="49" fontId="13" fillId="0" borderId="25" xfId="6" applyNumberFormat="1" applyFont="1" applyBorder="1" applyAlignment="1">
      <alignment horizontal="right" vertical="center" shrinkToFit="1"/>
    </xf>
    <xf numFmtId="0" fontId="63" fillId="0" borderId="3" xfId="6" applyFont="1" applyBorder="1"/>
    <xf numFmtId="0" fontId="63" fillId="0" borderId="0" xfId="6" applyFont="1"/>
    <xf numFmtId="0" fontId="63" fillId="0" borderId="5" xfId="6" applyFont="1" applyBorder="1"/>
    <xf numFmtId="0" fontId="13" fillId="0" borderId="26" xfId="6" applyFont="1" applyBorder="1" applyAlignment="1">
      <alignment horizontal="right" vertical="center" shrinkToFit="1"/>
    </xf>
    <xf numFmtId="0" fontId="13" fillId="0" borderId="26" xfId="6" applyFont="1" applyBorder="1" applyAlignment="1">
      <alignment horizontal="right" vertical="center"/>
    </xf>
    <xf numFmtId="0" fontId="35" fillId="0" borderId="4" xfId="6" applyFont="1" applyBorder="1"/>
    <xf numFmtId="0" fontId="35" fillId="0" borderId="5" xfId="6" applyFont="1" applyBorder="1"/>
    <xf numFmtId="0" fontId="63" fillId="0" borderId="7" xfId="6" applyFont="1" applyBorder="1"/>
    <xf numFmtId="0" fontId="35" fillId="0" borderId="6" xfId="6" applyFont="1" applyBorder="1"/>
    <xf numFmtId="0" fontId="35" fillId="0" borderId="7" xfId="6" applyFont="1" applyBorder="1"/>
    <xf numFmtId="0" fontId="35" fillId="0" borderId="8" xfId="6" applyFont="1" applyBorder="1"/>
    <xf numFmtId="0" fontId="67" fillId="0" borderId="0" xfId="6" applyFont="1" applyAlignment="1">
      <alignment horizontal="left"/>
    </xf>
    <xf numFmtId="0" fontId="37" fillId="0" borderId="0" xfId="6" applyFont="1" applyAlignment="1">
      <alignment horizontal="left"/>
    </xf>
    <xf numFmtId="0" fontId="37" fillId="0" borderId="0" xfId="6" applyFont="1" applyAlignment="1">
      <alignment horizontal="left" vertical="center"/>
    </xf>
    <xf numFmtId="0" fontId="37" fillId="0" borderId="0" xfId="6" applyFont="1" applyAlignment="1">
      <alignment vertical="center"/>
    </xf>
    <xf numFmtId="0" fontId="37" fillId="0" borderId="1" xfId="6" applyFont="1" applyBorder="1" applyAlignment="1">
      <alignment vertical="center"/>
    </xf>
    <xf numFmtId="0" fontId="37" fillId="0" borderId="2" xfId="6" applyFont="1" applyBorder="1" applyAlignment="1">
      <alignment vertical="center"/>
    </xf>
    <xf numFmtId="0" fontId="35" fillId="0" borderId="2" xfId="6" applyFont="1" applyBorder="1" applyAlignment="1">
      <alignment vertical="center"/>
    </xf>
    <xf numFmtId="0" fontId="35" fillId="0" borderId="3" xfId="6" applyFont="1" applyBorder="1" applyAlignment="1">
      <alignment vertical="center"/>
    </xf>
    <xf numFmtId="0" fontId="35" fillId="0" borderId="0" xfId="6" applyFont="1" applyAlignment="1">
      <alignment vertical="center"/>
    </xf>
    <xf numFmtId="0" fontId="37" fillId="0" borderId="4" xfId="6" applyFont="1" applyBorder="1" applyAlignment="1">
      <alignment vertical="center"/>
    </xf>
    <xf numFmtId="0" fontId="35" fillId="0" borderId="5" xfId="6" applyFont="1" applyBorder="1" applyAlignment="1">
      <alignment vertical="center"/>
    </xf>
    <xf numFmtId="0" fontId="37" fillId="0" borderId="6" xfId="6" applyFont="1" applyBorder="1" applyAlignment="1">
      <alignment vertical="center"/>
    </xf>
    <xf numFmtId="0" fontId="37" fillId="0" borderId="7" xfId="6" applyFont="1" applyBorder="1" applyAlignment="1">
      <alignment vertical="center"/>
    </xf>
    <xf numFmtId="0" fontId="35" fillId="0" borderId="7" xfId="6" applyFont="1" applyBorder="1" applyAlignment="1">
      <alignment vertical="center"/>
    </xf>
    <xf numFmtId="0" fontId="45" fillId="0" borderId="7" xfId="6" applyFont="1" applyBorder="1" applyAlignment="1">
      <alignment vertical="top" shrinkToFit="1"/>
    </xf>
    <xf numFmtId="0" fontId="35" fillId="0" borderId="8" xfId="6" applyFont="1" applyBorder="1" applyAlignment="1">
      <alignment vertical="center"/>
    </xf>
    <xf numFmtId="0" fontId="35" fillId="0" borderId="3" xfId="6" applyFont="1" applyBorder="1"/>
    <xf numFmtId="0" fontId="35" fillId="0" borderId="5" xfId="6" applyFont="1" applyBorder="1" applyAlignment="1">
      <alignment horizontal="center"/>
    </xf>
    <xf numFmtId="0" fontId="35" fillId="0" borderId="13" xfId="6" applyFont="1" applyBorder="1" applyAlignment="1" applyProtection="1">
      <alignment vertical="center"/>
      <protection locked="0"/>
    </xf>
    <xf numFmtId="0" fontId="35" fillId="0" borderId="8" xfId="6" applyFont="1" applyBorder="1" applyAlignment="1">
      <alignment horizontal="center"/>
    </xf>
    <xf numFmtId="0" fontId="35" fillId="0" borderId="0" xfId="6" applyFont="1" applyAlignment="1">
      <alignment vertical="top" shrinkToFit="1"/>
    </xf>
    <xf numFmtId="0" fontId="37" fillId="0" borderId="5" xfId="6" applyFont="1" applyBorder="1" applyAlignment="1">
      <alignment vertical="center"/>
    </xf>
    <xf numFmtId="0" fontId="35" fillId="0" borderId="0" xfId="6" applyFont="1" applyAlignment="1">
      <alignment horizontal="left" vertical="center"/>
    </xf>
    <xf numFmtId="0" fontId="35" fillId="0" borderId="0" xfId="6" applyFont="1" applyAlignment="1">
      <alignment horizontal="center" vertical="center"/>
    </xf>
    <xf numFmtId="0" fontId="35" fillId="0" borderId="7" xfId="6" applyFont="1" applyBorder="1" applyAlignment="1">
      <alignment horizontal="center" vertical="center"/>
    </xf>
    <xf numFmtId="0" fontId="42" fillId="0" borderId="0" xfId="6" applyFont="1"/>
    <xf numFmtId="0" fontId="35" fillId="0" borderId="0" xfId="6" applyFont="1" applyProtection="1">
      <protection locked="0"/>
    </xf>
    <xf numFmtId="0" fontId="35" fillId="0" borderId="0" xfId="6" applyFont="1" applyAlignment="1">
      <alignment horizontal="left"/>
    </xf>
    <xf numFmtId="0" fontId="35" fillId="0" borderId="0" xfId="6" applyFont="1" applyAlignment="1">
      <alignment horizontal="right"/>
    </xf>
    <xf numFmtId="0" fontId="45" fillId="0" borderId="0" xfId="6" applyFont="1"/>
    <xf numFmtId="0" fontId="45" fillId="0" borderId="0" xfId="6" applyFont="1" applyAlignment="1">
      <alignment horizontal="right"/>
    </xf>
    <xf numFmtId="0" fontId="45" fillId="0" borderId="0" xfId="6" applyFont="1" applyAlignment="1">
      <alignment shrinkToFit="1"/>
    </xf>
    <xf numFmtId="0" fontId="56" fillId="0" borderId="0" xfId="6" applyFont="1"/>
    <xf numFmtId="0" fontId="6" fillId="0" borderId="0" xfId="4" applyFont="1"/>
    <xf numFmtId="0" fontId="6" fillId="0" borderId="0" xfId="4" applyFont="1" applyAlignment="1">
      <alignment horizontal="center"/>
    </xf>
    <xf numFmtId="0" fontId="6" fillId="4" borderId="0" xfId="4" applyFont="1" applyFill="1" applyAlignment="1">
      <alignment horizontal="center"/>
    </xf>
    <xf numFmtId="0" fontId="7" fillId="4" borderId="0" xfId="4" applyFill="1" applyAlignment="1">
      <alignment horizontal="center"/>
    </xf>
    <xf numFmtId="0" fontId="6" fillId="12" borderId="0" xfId="4" applyFont="1" applyFill="1" applyAlignment="1">
      <alignment horizontal="center"/>
    </xf>
    <xf numFmtId="0" fontId="7" fillId="12" borderId="0" xfId="4" applyFill="1" applyAlignment="1">
      <alignment horizontal="center"/>
    </xf>
    <xf numFmtId="0" fontId="6" fillId="10" borderId="0" xfId="4" applyFont="1" applyFill="1" applyAlignment="1">
      <alignment horizontal="center"/>
    </xf>
    <xf numFmtId="0" fontId="7" fillId="10" borderId="0" xfId="4" applyFill="1" applyAlignment="1">
      <alignment horizontal="center"/>
    </xf>
    <xf numFmtId="0" fontId="7" fillId="5" borderId="0" xfId="4" applyFill="1" applyAlignment="1">
      <alignment horizontal="center"/>
    </xf>
    <xf numFmtId="0" fontId="6" fillId="5" borderId="0" xfId="4" applyFont="1" applyFill="1" applyAlignment="1">
      <alignment horizontal="center"/>
    </xf>
    <xf numFmtId="0" fontId="93" fillId="0" borderId="0" xfId="0" applyFont="1"/>
    <xf numFmtId="0" fontId="94" fillId="0" borderId="0" xfId="0" applyFont="1"/>
    <xf numFmtId="0" fontId="94" fillId="0" borderId="0" xfId="0" applyFont="1" applyProtection="1">
      <protection locked="0"/>
    </xf>
    <xf numFmtId="49" fontId="94" fillId="0" borderId="0" xfId="0" applyNumberFormat="1" applyFont="1" applyProtection="1">
      <protection locked="0"/>
    </xf>
    <xf numFmtId="164" fontId="0" fillId="0" borderId="0" xfId="0" applyNumberFormat="1"/>
    <xf numFmtId="14" fontId="0" fillId="0" borderId="0" xfId="0" applyNumberFormat="1"/>
    <xf numFmtId="14" fontId="0" fillId="0" borderId="0" xfId="0" applyNumberFormat="1" applyProtection="1">
      <protection locked="0"/>
    </xf>
    <xf numFmtId="22" fontId="0" fillId="0" borderId="0" xfId="0" applyNumberFormat="1" applyProtection="1">
      <protection locked="0"/>
    </xf>
    <xf numFmtId="0" fontId="0" fillId="0" borderId="0" xfId="0" applyAlignment="1">
      <alignment horizontal="center"/>
    </xf>
    <xf numFmtId="164" fontId="0" fillId="0" borderId="0" xfId="0" applyNumberFormat="1" applyAlignment="1">
      <alignment horizontal="center"/>
    </xf>
    <xf numFmtId="0" fontId="90" fillId="13" borderId="96" xfId="0" applyFont="1" applyFill="1" applyBorder="1"/>
    <xf numFmtId="0" fontId="90" fillId="13" borderId="97" xfId="0" applyFont="1" applyFill="1" applyBorder="1" applyAlignment="1">
      <alignment horizontal="center"/>
    </xf>
    <xf numFmtId="0" fontId="0" fillId="14" borderId="97" xfId="0" applyFill="1" applyBorder="1" applyAlignment="1">
      <alignment horizontal="center"/>
    </xf>
    <xf numFmtId="0" fontId="0" fillId="0" borderId="97" xfId="0" applyBorder="1" applyAlignment="1">
      <alignment horizontal="center"/>
    </xf>
    <xf numFmtId="164" fontId="90" fillId="13" borderId="97" xfId="0" applyNumberFormat="1" applyFont="1" applyFill="1" applyBorder="1" applyAlignment="1">
      <alignment horizontal="center"/>
    </xf>
    <xf numFmtId="0" fontId="90" fillId="13" borderId="98" xfId="0" applyFont="1" applyFill="1" applyBorder="1" applyAlignment="1">
      <alignment horizontal="center"/>
    </xf>
    <xf numFmtId="0" fontId="88" fillId="14" borderId="97" xfId="0" applyFont="1" applyFill="1" applyBorder="1" applyAlignment="1">
      <alignment horizontal="center"/>
    </xf>
    <xf numFmtId="0" fontId="96" fillId="4" borderId="0" xfId="0" applyFont="1" applyFill="1"/>
    <xf numFmtId="0" fontId="98" fillId="4" borderId="0" xfId="5" applyFont="1" applyFill="1"/>
    <xf numFmtId="0" fontId="98" fillId="10" borderId="0" xfId="5" applyFont="1" applyFill="1"/>
    <xf numFmtId="0" fontId="97" fillId="10" borderId="0" xfId="5" applyFont="1" applyFill="1"/>
    <xf numFmtId="0" fontId="26" fillId="0" borderId="55" xfId="6" applyFont="1" applyBorder="1" applyAlignment="1" applyProtection="1">
      <alignment horizontal="left" vertical="center" indent="1" shrinkToFit="1"/>
      <protection locked="0"/>
    </xf>
    <xf numFmtId="0" fontId="26" fillId="0" borderId="10" xfId="6" applyFont="1" applyBorder="1" applyAlignment="1" applyProtection="1">
      <alignment horizontal="left" vertical="center" indent="1" shrinkToFit="1"/>
      <protection locked="0"/>
    </xf>
    <xf numFmtId="0" fontId="80" fillId="0" borderId="11" xfId="6" applyFont="1" applyBorder="1" applyAlignment="1" applyProtection="1">
      <alignment horizontal="left" vertical="center" indent="1"/>
      <protection locked="0"/>
    </xf>
    <xf numFmtId="0" fontId="5" fillId="0" borderId="0" xfId="4" applyFont="1" applyAlignment="1">
      <alignment horizontal="center"/>
    </xf>
    <xf numFmtId="0" fontId="5" fillId="0" borderId="0" xfId="4" applyFont="1"/>
    <xf numFmtId="0" fontId="5" fillId="4" borderId="0" xfId="4" applyFont="1" applyFill="1" applyAlignment="1">
      <alignment horizontal="center"/>
    </xf>
    <xf numFmtId="0" fontId="5" fillId="12" borderId="0" xfId="4" applyFont="1" applyFill="1" applyAlignment="1">
      <alignment horizontal="center"/>
    </xf>
    <xf numFmtId="0" fontId="5" fillId="10" borderId="0" xfId="4" applyFont="1" applyFill="1" applyAlignment="1">
      <alignment horizontal="center"/>
    </xf>
    <xf numFmtId="0" fontId="5" fillId="5" borderId="0" xfId="4" applyFont="1" applyFill="1" applyAlignment="1">
      <alignment horizontal="center"/>
    </xf>
    <xf numFmtId="0" fontId="4" fillId="0" borderId="0" xfId="4" applyFont="1"/>
    <xf numFmtId="0" fontId="19" fillId="0" borderId="52" xfId="4" applyFont="1" applyBorder="1" applyAlignment="1" applyProtection="1">
      <alignment horizontal="center" vertical="top" wrapText="1"/>
      <protection locked="0"/>
    </xf>
    <xf numFmtId="0" fontId="19" fillId="0" borderId="72" xfId="4" applyFont="1" applyBorder="1" applyAlignment="1" applyProtection="1">
      <alignment horizontal="center" vertical="top" wrapText="1"/>
      <protection locked="0"/>
    </xf>
    <xf numFmtId="0" fontId="19" fillId="0" borderId="62" xfId="4" applyFont="1" applyBorder="1" applyAlignment="1" applyProtection="1">
      <alignment horizontal="center" vertical="top" wrapText="1"/>
      <protection locked="0"/>
    </xf>
    <xf numFmtId="0" fontId="19" fillId="6" borderId="56" xfId="2" applyFont="1" applyFill="1" applyBorder="1" applyAlignment="1" applyProtection="1">
      <alignment horizontal="center" vertical="center"/>
      <protection locked="0"/>
    </xf>
    <xf numFmtId="0" fontId="19" fillId="6" borderId="46" xfId="2" applyFont="1" applyFill="1" applyBorder="1" applyAlignment="1" applyProtection="1">
      <alignment horizontal="center" vertical="center"/>
      <protection locked="0"/>
    </xf>
    <xf numFmtId="0" fontId="19" fillId="6" borderId="60" xfId="2" applyFont="1" applyFill="1" applyBorder="1" applyAlignment="1" applyProtection="1">
      <alignment horizontal="center" vertical="center"/>
      <protection locked="0"/>
    </xf>
    <xf numFmtId="49" fontId="0" fillId="0" borderId="0" xfId="0" applyNumberFormat="1"/>
    <xf numFmtId="0" fontId="104" fillId="0" borderId="0" xfId="0" applyFont="1"/>
    <xf numFmtId="1" fontId="0" fillId="0" borderId="0" xfId="0" applyNumberFormat="1"/>
    <xf numFmtId="0" fontId="94" fillId="0" borderId="0" xfId="0" applyFont="1" applyAlignment="1">
      <alignment horizontal="left"/>
    </xf>
    <xf numFmtId="165" fontId="0" fillId="0" borderId="0" xfId="0" applyNumberFormat="1" applyAlignment="1">
      <alignment horizontal="center"/>
    </xf>
    <xf numFmtId="1" fontId="0" fillId="14" borderId="97" xfId="0" applyNumberFormat="1" applyFill="1" applyBorder="1" applyAlignment="1">
      <alignment horizontal="center"/>
    </xf>
    <xf numFmtId="0" fontId="88" fillId="0" borderId="0" xfId="0" quotePrefix="1" applyFont="1"/>
    <xf numFmtId="49" fontId="94" fillId="0" borderId="0" xfId="0" applyNumberFormat="1" applyFont="1" applyAlignment="1">
      <alignment horizontal="left"/>
    </xf>
    <xf numFmtId="0" fontId="55" fillId="5" borderId="0" xfId="5" applyFill="1"/>
    <xf numFmtId="0" fontId="98" fillId="5" borderId="0" xfId="5" applyFont="1" applyFill="1"/>
    <xf numFmtId="0" fontId="51" fillId="5" borderId="0" xfId="5" applyFont="1" applyFill="1"/>
    <xf numFmtId="0" fontId="88" fillId="0" borderId="0" xfId="0" applyFont="1"/>
    <xf numFmtId="0" fontId="19" fillId="0" borderId="83" xfId="4" applyFont="1" applyBorder="1" applyAlignment="1" applyProtection="1">
      <alignment horizontal="center" vertical="center" wrapText="1"/>
      <protection locked="0"/>
    </xf>
    <xf numFmtId="0" fontId="19" fillId="0" borderId="56" xfId="4" applyFont="1" applyBorder="1" applyAlignment="1" applyProtection="1">
      <alignment horizontal="center" vertical="center" wrapText="1"/>
      <protection locked="0"/>
    </xf>
    <xf numFmtId="0" fontId="19" fillId="0" borderId="9" xfId="4" applyFont="1" applyBorder="1" applyAlignment="1" applyProtection="1">
      <alignment horizontal="center" vertical="center" wrapText="1"/>
      <protection locked="0"/>
    </xf>
    <xf numFmtId="0" fontId="19" fillId="0" borderId="85" xfId="4" applyFont="1" applyBorder="1" applyAlignment="1" applyProtection="1">
      <alignment horizontal="center" vertical="center" wrapText="1"/>
      <protection locked="0"/>
    </xf>
    <xf numFmtId="0" fontId="19" fillId="0" borderId="46" xfId="4" applyFont="1" applyBorder="1" applyAlignment="1" applyProtection="1">
      <alignment horizontal="center" vertical="center" wrapText="1"/>
      <protection locked="0"/>
    </xf>
    <xf numFmtId="0" fontId="19" fillId="0" borderId="11" xfId="4" applyFont="1" applyBorder="1" applyAlignment="1" applyProtection="1">
      <alignment horizontal="center" vertical="center" wrapText="1"/>
      <protection locked="0"/>
    </xf>
    <xf numFmtId="0" fontId="19" fillId="0" borderId="90" xfId="4" applyFont="1" applyBorder="1" applyAlignment="1" applyProtection="1">
      <alignment horizontal="center" vertical="center" wrapText="1"/>
      <protection locked="0"/>
    </xf>
    <xf numFmtId="0" fontId="19" fillId="0" borderId="60" xfId="4" applyFont="1" applyBorder="1" applyAlignment="1" applyProtection="1">
      <alignment horizontal="center" vertical="center" wrapText="1"/>
      <protection locked="0"/>
    </xf>
    <xf numFmtId="0" fontId="19" fillId="0" borderId="13" xfId="4" applyFont="1" applyBorder="1" applyAlignment="1" applyProtection="1">
      <alignment horizontal="center" vertical="center" wrapText="1"/>
      <protection locked="0"/>
    </xf>
    <xf numFmtId="0" fontId="90" fillId="13" borderId="0" xfId="0" applyFont="1" applyFill="1"/>
    <xf numFmtId="1" fontId="35" fillId="0" borderId="88" xfId="6" applyNumberFormat="1" applyFont="1" applyBorder="1" applyAlignment="1" applyProtection="1">
      <alignment horizontal="center" vertical="center"/>
      <protection locked="0"/>
    </xf>
    <xf numFmtId="1" fontId="35" fillId="0" borderId="84" xfId="6" applyNumberFormat="1" applyFont="1" applyBorder="1" applyAlignment="1" applyProtection="1">
      <alignment horizontal="center" vertical="center"/>
      <protection locked="0"/>
    </xf>
    <xf numFmtId="1" fontId="35" fillId="0" borderId="86" xfId="6" applyNumberFormat="1" applyFont="1" applyBorder="1" applyAlignment="1" applyProtection="1">
      <alignment horizontal="center" vertical="center"/>
      <protection locked="0"/>
    </xf>
    <xf numFmtId="1" fontId="35" fillId="0" borderId="33" xfId="6" applyNumberFormat="1" applyFont="1" applyBorder="1" applyAlignment="1" applyProtection="1">
      <alignment horizontal="center" vertical="center"/>
      <protection locked="0"/>
    </xf>
    <xf numFmtId="0" fontId="60" fillId="0" borderId="0" xfId="6" applyFont="1" applyProtection="1">
      <protection hidden="1"/>
    </xf>
    <xf numFmtId="0" fontId="35" fillId="0" borderId="0" xfId="6" applyFont="1" applyProtection="1">
      <protection hidden="1"/>
    </xf>
    <xf numFmtId="0" fontId="42" fillId="0" borderId="0" xfId="6" applyFont="1" applyAlignment="1" applyProtection="1">
      <alignment horizontal="center" vertical="center"/>
      <protection hidden="1"/>
    </xf>
    <xf numFmtId="0" fontId="72" fillId="0" borderId="0" xfId="6" applyFont="1" applyAlignment="1" applyProtection="1">
      <alignment horizontal="left"/>
      <protection hidden="1"/>
    </xf>
    <xf numFmtId="0" fontId="42" fillId="0" borderId="0" xfId="6" applyFont="1" applyAlignment="1" applyProtection="1">
      <alignment horizontal="center"/>
      <protection hidden="1"/>
    </xf>
    <xf numFmtId="0" fontId="62" fillId="0" borderId="0" xfId="6" applyFont="1" applyAlignment="1" applyProtection="1">
      <alignment horizontal="left"/>
      <protection hidden="1"/>
    </xf>
    <xf numFmtId="0" fontId="37" fillId="0" borderId="0" xfId="6" applyFont="1" applyProtection="1">
      <protection hidden="1"/>
    </xf>
    <xf numFmtId="0" fontId="63" fillId="0" borderId="2" xfId="6" applyFont="1" applyBorder="1" applyProtection="1">
      <protection hidden="1"/>
    </xf>
    <xf numFmtId="0" fontId="63" fillId="0" borderId="0" xfId="6" applyFont="1" applyProtection="1">
      <protection hidden="1"/>
    </xf>
    <xf numFmtId="0" fontId="63" fillId="0" borderId="7" xfId="6" applyFont="1" applyBorder="1" applyProtection="1">
      <protection hidden="1"/>
    </xf>
    <xf numFmtId="0" fontId="73" fillId="0" borderId="0" xfId="6" applyFont="1" applyAlignment="1" applyProtection="1">
      <alignment horizontal="left"/>
      <protection hidden="1"/>
    </xf>
    <xf numFmtId="0" fontId="67" fillId="0" borderId="0" xfId="6" applyFont="1" applyAlignment="1" applyProtection="1">
      <alignment horizontal="left"/>
      <protection hidden="1"/>
    </xf>
    <xf numFmtId="0" fontId="42" fillId="0" borderId="0" xfId="6" applyFont="1" applyProtection="1">
      <protection hidden="1"/>
    </xf>
    <xf numFmtId="0" fontId="74" fillId="0" borderId="0" xfId="6" applyFont="1" applyProtection="1">
      <protection hidden="1"/>
    </xf>
    <xf numFmtId="0" fontId="74" fillId="0" borderId="0" xfId="6" applyFont="1" applyAlignment="1" applyProtection="1">
      <alignment vertical="center"/>
      <protection hidden="1"/>
    </xf>
    <xf numFmtId="0" fontId="74" fillId="0" borderId="0" xfId="6" applyFont="1" applyAlignment="1" applyProtection="1">
      <alignment horizontal="left" vertical="center"/>
      <protection hidden="1"/>
    </xf>
    <xf numFmtId="0" fontId="75" fillId="0" borderId="0" xfId="6" applyFont="1" applyAlignment="1" applyProtection="1">
      <alignment vertical="center" wrapText="1"/>
      <protection hidden="1"/>
    </xf>
    <xf numFmtId="0" fontId="56" fillId="0" borderId="0" xfId="6" applyFont="1" applyProtection="1">
      <protection hidden="1"/>
    </xf>
    <xf numFmtId="0" fontId="38" fillId="0" borderId="0" xfId="6" applyFont="1" applyAlignment="1">
      <alignment horizontal="center" vertical="top"/>
    </xf>
    <xf numFmtId="0" fontId="44" fillId="0" borderId="25" xfId="6" applyFont="1" applyBorder="1" applyAlignment="1">
      <alignment horizontal="right" vertical="center"/>
    </xf>
    <xf numFmtId="0" fontId="44" fillId="0" borderId="9" xfId="6" applyFont="1" applyBorder="1" applyAlignment="1">
      <alignment horizontal="right" vertical="center"/>
    </xf>
    <xf numFmtId="0" fontId="32" fillId="0" borderId="26" xfId="6" applyFont="1" applyBorder="1" applyAlignment="1">
      <alignment horizontal="right" vertical="center" wrapText="1"/>
    </xf>
    <xf numFmtId="0" fontId="44" fillId="0" borderId="62" xfId="6" applyFont="1" applyBorder="1" applyAlignment="1">
      <alignment horizontal="right" vertical="center"/>
    </xf>
    <xf numFmtId="0" fontId="35" fillId="0" borderId="63" xfId="6" applyFont="1" applyBorder="1"/>
    <xf numFmtId="0" fontId="42" fillId="0" borderId="42" xfId="6" applyFont="1" applyBorder="1" applyAlignment="1">
      <alignment horizontal="center" vertical="center"/>
    </xf>
    <xf numFmtId="0" fontId="42" fillId="0" borderId="48" xfId="6" applyFont="1" applyBorder="1" applyAlignment="1">
      <alignment horizontal="center" vertical="center"/>
    </xf>
    <xf numFmtId="0" fontId="42" fillId="0" borderId="23" xfId="6" applyFont="1" applyBorder="1" applyAlignment="1">
      <alignment horizontal="center" vertical="center"/>
    </xf>
    <xf numFmtId="0" fontId="35" fillId="0" borderId="9" xfId="6" applyFont="1" applyBorder="1" applyAlignment="1">
      <alignment horizontal="center" vertical="center"/>
    </xf>
    <xf numFmtId="165" fontId="35" fillId="0" borderId="10" xfId="6" applyNumberFormat="1" applyFont="1" applyBorder="1" applyAlignment="1">
      <alignment horizontal="center" vertical="center"/>
    </xf>
    <xf numFmtId="0" fontId="35" fillId="0" borderId="52" xfId="6" applyFont="1" applyBorder="1" applyAlignment="1">
      <alignment horizontal="center" vertical="center"/>
    </xf>
    <xf numFmtId="1" fontId="35" fillId="0" borderId="67" xfId="6" applyNumberFormat="1" applyFont="1" applyBorder="1" applyAlignment="1">
      <alignment horizontal="center" vertical="center"/>
    </xf>
    <xf numFmtId="164" fontId="35" fillId="0" borderId="52" xfId="6" applyNumberFormat="1" applyFont="1" applyBorder="1" applyAlignment="1">
      <alignment horizontal="center" vertical="center"/>
    </xf>
    <xf numFmtId="164" fontId="35" fillId="0" borderId="9" xfId="6" applyNumberFormat="1" applyFont="1" applyBorder="1" applyAlignment="1">
      <alignment horizontal="center" vertical="center"/>
    </xf>
    <xf numFmtId="0" fontId="35" fillId="0" borderId="10" xfId="6" applyFont="1" applyBorder="1" applyAlignment="1">
      <alignment horizontal="center" vertical="center" wrapText="1"/>
    </xf>
    <xf numFmtId="0" fontId="35" fillId="0" borderId="11" xfId="6" applyFont="1" applyBorder="1" applyAlignment="1">
      <alignment horizontal="center" vertical="center"/>
    </xf>
    <xf numFmtId="0" fontId="35" fillId="0" borderId="19" xfId="6" applyFont="1" applyBorder="1" applyAlignment="1">
      <alignment horizontal="center" vertical="center"/>
    </xf>
    <xf numFmtId="165" fontId="35" fillId="0" borderId="36" xfId="6" applyNumberFormat="1" applyFont="1" applyBorder="1" applyAlignment="1">
      <alignment horizontal="center" vertical="center"/>
    </xf>
    <xf numFmtId="0" fontId="35" fillId="0" borderId="37" xfId="6" applyFont="1" applyBorder="1" applyAlignment="1">
      <alignment horizontal="center" vertical="center"/>
    </xf>
    <xf numFmtId="164" fontId="35" fillId="0" borderId="72" xfId="6" applyNumberFormat="1" applyFont="1" applyBorder="1" applyAlignment="1">
      <alignment horizontal="center" vertical="center"/>
    </xf>
    <xf numFmtId="164" fontId="35" fillId="0" borderId="11" xfId="6" applyNumberFormat="1" applyFont="1" applyBorder="1" applyAlignment="1">
      <alignment horizontal="center" vertical="center"/>
    </xf>
    <xf numFmtId="0" fontId="35" fillId="0" borderId="12" xfId="6" applyFont="1" applyBorder="1" applyAlignment="1">
      <alignment horizontal="center" vertical="center" wrapText="1"/>
    </xf>
    <xf numFmtId="1" fontId="35" fillId="0" borderId="5" xfId="6" applyNumberFormat="1" applyFont="1" applyBorder="1" applyAlignment="1">
      <alignment horizontal="center" vertical="center"/>
    </xf>
    <xf numFmtId="1" fontId="35" fillId="0" borderId="87" xfId="6" applyNumberFormat="1" applyFont="1" applyBorder="1" applyAlignment="1">
      <alignment horizontal="center" vertical="center"/>
    </xf>
    <xf numFmtId="0" fontId="35" fillId="0" borderId="26" xfId="6" applyFont="1" applyBorder="1" applyAlignment="1">
      <alignment horizontal="center" vertical="center"/>
    </xf>
    <xf numFmtId="0" fontId="35" fillId="0" borderId="89" xfId="6" applyFont="1" applyBorder="1" applyAlignment="1">
      <alignment horizontal="center" vertical="center"/>
    </xf>
    <xf numFmtId="1" fontId="35" fillId="0" borderId="36" xfId="6" applyNumberFormat="1" applyFont="1" applyBorder="1" applyAlignment="1">
      <alignment horizontal="center" vertical="center"/>
    </xf>
    <xf numFmtId="0" fontId="35" fillId="0" borderId="13" xfId="6" applyFont="1" applyBorder="1" applyAlignment="1">
      <alignment horizontal="center" vertical="center"/>
    </xf>
    <xf numFmtId="0" fontId="35" fillId="0" borderId="59" xfId="6" applyFont="1" applyBorder="1" applyAlignment="1">
      <alignment horizontal="center" vertical="center"/>
    </xf>
    <xf numFmtId="165" fontId="35" fillId="0" borderId="18" xfId="6" applyNumberFormat="1" applyFont="1" applyBorder="1" applyAlignment="1">
      <alignment horizontal="center" vertical="center"/>
    </xf>
    <xf numFmtId="49" fontId="35" fillId="0" borderId="62" xfId="6" applyNumberFormat="1" applyFont="1" applyBorder="1" applyAlignment="1">
      <alignment horizontal="center" vertical="center"/>
    </xf>
    <xf numFmtId="1" fontId="35" fillId="0" borderId="18" xfId="6" applyNumberFormat="1" applyFont="1" applyBorder="1" applyAlignment="1">
      <alignment horizontal="center" vertical="center"/>
    </xf>
    <xf numFmtId="164" fontId="35" fillId="0" borderId="62" xfId="6" applyNumberFormat="1" applyFont="1" applyBorder="1" applyAlignment="1">
      <alignment horizontal="center" vertical="center"/>
    </xf>
    <xf numFmtId="164" fontId="35" fillId="0" borderId="13" xfId="6" applyNumberFormat="1" applyFont="1" applyBorder="1" applyAlignment="1">
      <alignment horizontal="center" vertical="center"/>
    </xf>
    <xf numFmtId="164" fontId="35" fillId="0" borderId="59" xfId="6" applyNumberFormat="1" applyFont="1" applyBorder="1" applyAlignment="1">
      <alignment horizontal="center" vertical="center"/>
    </xf>
    <xf numFmtId="164" fontId="35" fillId="0" borderId="18" xfId="6" applyNumberFormat="1" applyFont="1" applyBorder="1" applyAlignment="1">
      <alignment horizontal="center" vertical="center" wrapText="1"/>
    </xf>
    <xf numFmtId="0" fontId="42" fillId="0" borderId="37" xfId="6" applyFont="1" applyBorder="1" applyAlignment="1">
      <alignment vertical="center"/>
    </xf>
    <xf numFmtId="0" fontId="42" fillId="0" borderId="50" xfId="6" applyFont="1" applyBorder="1" applyAlignment="1">
      <alignment vertical="center"/>
    </xf>
    <xf numFmtId="0" fontId="42" fillId="0" borderId="50" xfId="6" applyFont="1" applyBorder="1" applyAlignment="1">
      <alignment horizontal="right" vertical="center" indent="1"/>
    </xf>
    <xf numFmtId="0" fontId="42" fillId="0" borderId="62" xfId="6" applyFont="1" applyBorder="1" applyAlignment="1">
      <alignment vertical="center"/>
    </xf>
    <xf numFmtId="0" fontId="42" fillId="0" borderId="63" xfId="6" applyFont="1" applyBorder="1" applyAlignment="1">
      <alignment vertical="center"/>
    </xf>
    <xf numFmtId="0" fontId="42" fillId="0" borderId="63" xfId="6" applyFont="1" applyBorder="1" applyAlignment="1">
      <alignment horizontal="right" vertical="center" indent="1"/>
    </xf>
    <xf numFmtId="10" fontId="35" fillId="0" borderId="0" xfId="6" applyNumberFormat="1" applyFont="1" applyAlignment="1">
      <alignment horizontal="center"/>
    </xf>
    <xf numFmtId="0" fontId="78" fillId="0" borderId="0" xfId="6" applyFont="1" applyAlignment="1">
      <alignment horizontal="center"/>
    </xf>
    <xf numFmtId="0" fontId="80" fillId="0" borderId="0" xfId="6" applyFont="1" applyAlignment="1">
      <alignment vertical="center"/>
    </xf>
    <xf numFmtId="0" fontId="32" fillId="0" borderId="0" xfId="6" applyFont="1" applyAlignment="1">
      <alignment horizontal="right" vertical="center"/>
    </xf>
    <xf numFmtId="0" fontId="32" fillId="0" borderId="0" xfId="6" applyFont="1" applyAlignment="1">
      <alignment horizontal="center" vertical="center"/>
    </xf>
    <xf numFmtId="0" fontId="75" fillId="0" borderId="0" xfId="6" applyFont="1" applyAlignment="1">
      <alignment horizontal="center"/>
    </xf>
    <xf numFmtId="0" fontId="75" fillId="0" borderId="0" xfId="6" applyFont="1" applyAlignment="1">
      <alignment vertical="center"/>
    </xf>
    <xf numFmtId="0" fontId="44" fillId="0" borderId="0" xfId="6" applyFont="1" applyAlignment="1">
      <alignment horizontal="right" vertical="center"/>
    </xf>
    <xf numFmtId="0" fontId="37" fillId="0" borderId="0" xfId="6" applyFont="1" applyAlignment="1">
      <alignment horizontal="center" vertical="center"/>
    </xf>
    <xf numFmtId="0" fontId="91" fillId="0" borderId="0" xfId="6" applyFont="1" applyAlignment="1">
      <alignment horizontal="right"/>
    </xf>
    <xf numFmtId="0" fontId="35" fillId="0" borderId="47" xfId="6" applyFont="1" applyBorder="1"/>
    <xf numFmtId="0" fontId="35" fillId="0" borderId="91" xfId="6" applyFont="1" applyBorder="1"/>
    <xf numFmtId="0" fontId="11" fillId="0" borderId="0" xfId="6" applyFont="1"/>
    <xf numFmtId="0" fontId="22" fillId="16" borderId="9" xfId="6" applyFont="1" applyFill="1" applyBorder="1" applyAlignment="1">
      <alignment horizontal="right" vertical="center"/>
    </xf>
    <xf numFmtId="0" fontId="22" fillId="16" borderId="11" xfId="6" applyFont="1" applyFill="1" applyBorder="1" applyAlignment="1">
      <alignment horizontal="right" vertical="center"/>
    </xf>
    <xf numFmtId="0" fontId="81" fillId="0" borderId="0" xfId="6" applyFont="1" applyAlignment="1">
      <alignment horizontal="left" vertical="center" wrapText="1"/>
    </xf>
    <xf numFmtId="0" fontId="7" fillId="0" borderId="0" xfId="6" applyAlignment="1">
      <alignment horizontal="center" vertical="top" wrapText="1"/>
    </xf>
    <xf numFmtId="0" fontId="24" fillId="0" borderId="0" xfId="6" applyFont="1" applyAlignment="1">
      <alignment horizontal="center" vertical="center" wrapText="1"/>
    </xf>
    <xf numFmtId="0" fontId="7" fillId="0" borderId="0" xfId="6" applyAlignment="1">
      <alignment vertical="center" wrapText="1"/>
    </xf>
    <xf numFmtId="0" fontId="24" fillId="16" borderId="16" xfId="6" applyFont="1" applyFill="1" applyBorder="1" applyAlignment="1">
      <alignment horizontal="center" vertical="center" wrapText="1"/>
    </xf>
    <xf numFmtId="0" fontId="24" fillId="16" borderId="8" xfId="6" applyFont="1" applyFill="1" applyBorder="1" applyAlignment="1">
      <alignment horizontal="center" vertical="center" wrapText="1"/>
    </xf>
    <xf numFmtId="0" fontId="24" fillId="16" borderId="17" xfId="6" quotePrefix="1" applyFont="1" applyFill="1" applyBorder="1" applyAlignment="1">
      <alignment horizontal="center" vertical="center" wrapText="1"/>
    </xf>
    <xf numFmtId="0" fontId="23" fillId="0" borderId="83" xfId="0" applyFont="1" applyBorder="1" applyAlignment="1">
      <alignment horizontal="center" vertical="center" wrapText="1"/>
    </xf>
    <xf numFmtId="0" fontId="20" fillId="0" borderId="85" xfId="0" applyFont="1" applyBorder="1" applyAlignment="1">
      <alignment vertical="top" wrapText="1"/>
    </xf>
    <xf numFmtId="0" fontId="20" fillId="0" borderId="83" xfId="6" applyFont="1" applyBorder="1" applyAlignment="1">
      <alignment horizontal="left" vertical="top" wrapText="1"/>
    </xf>
    <xf numFmtId="0" fontId="23" fillId="0" borderId="85" xfId="0" applyFont="1" applyBorder="1" applyAlignment="1">
      <alignment horizontal="center" vertical="center" wrapText="1"/>
    </xf>
    <xf numFmtId="0" fontId="20" fillId="2" borderId="85" xfId="0" applyFont="1" applyFill="1" applyBorder="1" applyAlignment="1">
      <alignment horizontal="center" vertical="center" wrapText="1"/>
    </xf>
    <xf numFmtId="0" fontId="20" fillId="2" borderId="85" xfId="6" applyFont="1" applyFill="1" applyBorder="1" applyAlignment="1">
      <alignment vertical="top" wrapText="1"/>
    </xf>
    <xf numFmtId="0" fontId="20" fillId="2" borderId="85" xfId="6" applyFont="1" applyFill="1" applyBorder="1" applyAlignment="1">
      <alignment horizontal="left" vertical="top" wrapText="1"/>
    </xf>
    <xf numFmtId="0" fontId="23" fillId="0" borderId="90" xfId="0" applyFont="1" applyBorder="1" applyAlignment="1">
      <alignment horizontal="center" vertical="center" wrapText="1"/>
    </xf>
    <xf numFmtId="0" fontId="20" fillId="2" borderId="90" xfId="0" applyFont="1" applyFill="1" applyBorder="1" applyAlignment="1">
      <alignment horizontal="left" wrapText="1"/>
    </xf>
    <xf numFmtId="0" fontId="20" fillId="2" borderId="90" xfId="6" applyFont="1" applyFill="1" applyBorder="1" applyAlignment="1">
      <alignment vertical="top" wrapText="1"/>
    </xf>
    <xf numFmtId="0" fontId="20" fillId="2" borderId="90" xfId="6" applyFont="1" applyFill="1" applyBorder="1" applyAlignment="1">
      <alignment horizontal="left" vertical="top" wrapText="1"/>
    </xf>
    <xf numFmtId="0" fontId="20" fillId="2" borderId="90" xfId="0" applyFont="1" applyFill="1" applyBorder="1" applyAlignment="1">
      <alignment horizontal="left" vertical="center" wrapText="1"/>
    </xf>
    <xf numFmtId="0" fontId="20" fillId="0" borderId="11" xfId="6" applyFont="1" applyBorder="1" applyAlignment="1">
      <alignment horizontal="center" vertical="center" wrapText="1"/>
    </xf>
    <xf numFmtId="0" fontId="20" fillId="0" borderId="90" xfId="6" applyFont="1" applyBorder="1" applyAlignment="1">
      <alignment vertical="top" wrapText="1"/>
    </xf>
    <xf numFmtId="0" fontId="20" fillId="0" borderId="13" xfId="6" applyFont="1" applyBorder="1" applyAlignment="1">
      <alignment horizontal="center" vertical="center" wrapText="1"/>
    </xf>
    <xf numFmtId="0" fontId="20" fillId="2" borderId="90" xfId="0" applyFont="1" applyFill="1" applyBorder="1" applyAlignment="1">
      <alignment horizontal="left" vertical="top" wrapText="1"/>
    </xf>
    <xf numFmtId="0" fontId="23" fillId="0" borderId="92" xfId="0" applyFont="1" applyBorder="1" applyAlignment="1">
      <alignment horizontal="center" vertical="center" wrapText="1"/>
    </xf>
    <xf numFmtId="0" fontId="23" fillId="0" borderId="93" xfId="0" applyFont="1" applyBorder="1" applyAlignment="1">
      <alignment horizontal="center" vertical="center" wrapText="1"/>
    </xf>
    <xf numFmtId="0" fontId="23" fillId="0" borderId="94" xfId="0" applyFont="1" applyBorder="1" applyAlignment="1">
      <alignment horizontal="center" vertical="center" wrapText="1"/>
    </xf>
    <xf numFmtId="0" fontId="20" fillId="2" borderId="94" xfId="0" applyFont="1" applyFill="1" applyBorder="1" applyAlignment="1">
      <alignment horizontal="left" vertical="top" wrapText="1"/>
    </xf>
    <xf numFmtId="0" fontId="20" fillId="2" borderId="85" xfId="0" applyFont="1" applyFill="1" applyBorder="1" applyAlignment="1">
      <alignment horizontal="left" vertical="top" wrapText="1"/>
    </xf>
    <xf numFmtId="0" fontId="20" fillId="2" borderId="90" xfId="0" applyFont="1" applyFill="1" applyBorder="1" applyAlignment="1">
      <alignment horizontal="center" vertical="center" wrapText="1"/>
    </xf>
    <xf numFmtId="0" fontId="20" fillId="0" borderId="85" xfId="6" applyFont="1" applyBorder="1" applyAlignment="1">
      <alignment horizontal="left" vertical="top" wrapText="1"/>
    </xf>
    <xf numFmtId="0" fontId="20" fillId="0" borderId="90" xfId="6" applyFont="1" applyBorder="1" applyAlignment="1">
      <alignment horizontal="left" vertical="top" wrapText="1"/>
    </xf>
    <xf numFmtId="0" fontId="23" fillId="0" borderId="15" xfId="0" applyFont="1" applyBorder="1" applyAlignment="1">
      <alignment horizontal="center" vertical="center" wrapText="1"/>
    </xf>
    <xf numFmtId="0" fontId="20" fillId="2" borderId="95" xfId="0" applyFont="1" applyFill="1" applyBorder="1" applyAlignment="1">
      <alignment horizontal="left" vertical="top" wrapText="1"/>
    </xf>
    <xf numFmtId="0" fontId="23" fillId="0" borderId="17" xfId="0" applyFont="1" applyBorder="1" applyAlignment="1">
      <alignment horizontal="center" vertical="center" wrapText="1"/>
    </xf>
    <xf numFmtId="0" fontId="20" fillId="2" borderId="17" xfId="0" applyFont="1" applyFill="1" applyBorder="1" applyAlignment="1">
      <alignment horizontal="left" vertical="top" wrapText="1"/>
    </xf>
    <xf numFmtId="0" fontId="20" fillId="0" borderId="15" xfId="0" applyFont="1" applyBorder="1" applyAlignment="1">
      <alignment horizontal="left" vertical="top" wrapText="1"/>
    </xf>
    <xf numFmtId="0" fontId="20" fillId="0" borderId="85" xfId="0" applyFont="1" applyBorder="1" applyAlignment="1">
      <alignment horizontal="left" vertical="top" wrapText="1"/>
    </xf>
    <xf numFmtId="0" fontId="20" fillId="0" borderId="17" xfId="0" applyFont="1" applyBorder="1" applyAlignment="1">
      <alignment horizontal="left" vertical="top" wrapText="1"/>
    </xf>
    <xf numFmtId="0" fontId="20" fillId="0" borderId="90" xfId="0" applyFont="1" applyBorder="1" applyAlignment="1">
      <alignment horizontal="left" vertical="top" wrapText="1"/>
    </xf>
    <xf numFmtId="0" fontId="24" fillId="0" borderId="11" xfId="6" applyFont="1" applyBorder="1" applyAlignment="1">
      <alignment vertical="top" wrapText="1"/>
    </xf>
    <xf numFmtId="0" fontId="82" fillId="0" borderId="19" xfId="6" applyFont="1" applyBorder="1" applyAlignment="1">
      <alignment vertical="top" wrapText="1"/>
    </xf>
    <xf numFmtId="0" fontId="20" fillId="0" borderId="19" xfId="6" applyFont="1" applyBorder="1" applyAlignment="1">
      <alignment vertical="top" wrapText="1"/>
    </xf>
    <xf numFmtId="10" fontId="20" fillId="0" borderId="19" xfId="6" applyNumberFormat="1" applyFont="1" applyBorder="1" applyAlignment="1">
      <alignment vertical="top" wrapText="1"/>
    </xf>
    <xf numFmtId="0" fontId="20" fillId="0" borderId="19" xfId="6" applyFont="1" applyBorder="1" applyAlignment="1">
      <alignment horizontal="center" vertical="center" wrapText="1"/>
    </xf>
    <xf numFmtId="0" fontId="83" fillId="0" borderId="19" xfId="6" applyFont="1" applyBorder="1" applyAlignment="1">
      <alignment vertical="top" wrapText="1"/>
    </xf>
    <xf numFmtId="0" fontId="83" fillId="0" borderId="19" xfId="6" applyFont="1" applyBorder="1" applyAlignment="1">
      <alignment horizontal="left" vertical="top" wrapText="1"/>
    </xf>
    <xf numFmtId="0" fontId="82" fillId="0" borderId="11" xfId="6" applyFont="1" applyBorder="1" applyAlignment="1">
      <alignment vertical="top" wrapText="1"/>
    </xf>
    <xf numFmtId="0" fontId="20" fillId="0" borderId="11" xfId="6" applyFont="1" applyBorder="1" applyAlignment="1">
      <alignment vertical="top" wrapText="1"/>
    </xf>
    <xf numFmtId="10" fontId="20" fillId="0" borderId="11" xfId="6" applyNumberFormat="1" applyFont="1" applyBorder="1" applyAlignment="1">
      <alignment vertical="top" wrapText="1"/>
    </xf>
    <xf numFmtId="0" fontId="83" fillId="0" borderId="11" xfId="6" applyFont="1" applyBorder="1" applyAlignment="1">
      <alignment vertical="top" wrapText="1"/>
    </xf>
    <xf numFmtId="0" fontId="83" fillId="0" borderId="11" xfId="6" applyFont="1" applyBorder="1" applyAlignment="1">
      <alignment horizontal="left" vertical="top" wrapText="1"/>
    </xf>
    <xf numFmtId="0" fontId="83" fillId="0" borderId="13" xfId="6" applyFont="1" applyBorder="1" applyAlignment="1">
      <alignment vertical="top" wrapText="1"/>
    </xf>
    <xf numFmtId="0" fontId="20" fillId="0" borderId="0" xfId="6" applyFont="1" applyAlignment="1">
      <alignment vertical="center" wrapText="1"/>
    </xf>
    <xf numFmtId="164" fontId="24" fillId="0" borderId="8" xfId="6" applyNumberFormat="1" applyFont="1" applyBorder="1" applyAlignment="1">
      <alignment horizontal="center" vertical="center" wrapText="1"/>
    </xf>
    <xf numFmtId="0" fontId="22" fillId="0" borderId="0" xfId="6" applyFont="1"/>
    <xf numFmtId="0" fontId="22" fillId="0" borderId="19" xfId="6" applyFont="1" applyBorder="1" applyAlignment="1">
      <alignment vertical="center" wrapText="1"/>
    </xf>
    <xf numFmtId="0" fontId="22" fillId="0" borderId="11" xfId="6" applyFont="1" applyBorder="1" applyAlignment="1">
      <alignment vertical="center" wrapText="1"/>
    </xf>
    <xf numFmtId="0" fontId="53" fillId="0" borderId="0" xfId="6" applyFont="1"/>
    <xf numFmtId="0" fontId="84" fillId="0" borderId="0" xfId="6" applyFont="1" applyAlignment="1">
      <alignment horizontal="center" vertical="center" wrapText="1"/>
    </xf>
    <xf numFmtId="0" fontId="22" fillId="16" borderId="19" xfId="6" applyFont="1" applyFill="1" applyBorder="1" applyAlignment="1">
      <alignment horizontal="right" vertical="center"/>
    </xf>
    <xf numFmtId="0" fontId="22" fillId="17" borderId="19" xfId="6" applyFont="1" applyFill="1" applyBorder="1" applyAlignment="1">
      <alignment horizontal="right" vertical="center"/>
    </xf>
    <xf numFmtId="0" fontId="22" fillId="17" borderId="11" xfId="6" applyFont="1" applyFill="1" applyBorder="1" applyAlignment="1">
      <alignment horizontal="right" vertical="center"/>
    </xf>
    <xf numFmtId="0" fontId="24" fillId="17" borderId="16" xfId="6" applyFont="1" applyFill="1" applyBorder="1" applyAlignment="1">
      <alignment horizontal="center" vertical="center" wrapText="1"/>
    </xf>
    <xf numFmtId="0" fontId="24" fillId="17" borderId="8" xfId="6" applyFont="1" applyFill="1" applyBorder="1" applyAlignment="1">
      <alignment horizontal="center" vertical="center" wrapText="1"/>
    </xf>
    <xf numFmtId="0" fontId="24" fillId="17" borderId="17" xfId="6" quotePrefix="1" applyFont="1" applyFill="1" applyBorder="1" applyAlignment="1">
      <alignment horizontal="center" vertical="center" wrapText="1"/>
    </xf>
    <xf numFmtId="0" fontId="23" fillId="0" borderId="89" xfId="0" applyFont="1" applyBorder="1" applyAlignment="1">
      <alignment horizontal="center" vertical="center" wrapText="1"/>
    </xf>
    <xf numFmtId="0" fontId="20" fillId="0" borderId="89" xfId="6" applyFont="1" applyBorder="1" applyAlignment="1">
      <alignment horizontal="left" vertical="top" wrapText="1"/>
    </xf>
    <xf numFmtId="0" fontId="23" fillId="0" borderId="95" xfId="0" applyFont="1" applyBorder="1" applyAlignment="1">
      <alignment horizontal="center" vertical="center" wrapText="1"/>
    </xf>
    <xf numFmtId="0" fontId="22" fillId="15" borderId="19" xfId="6" applyFont="1" applyFill="1" applyBorder="1" applyAlignment="1">
      <alignment horizontal="right" vertical="center"/>
    </xf>
    <xf numFmtId="0" fontId="22" fillId="15" borderId="11" xfId="6" applyFont="1" applyFill="1" applyBorder="1" applyAlignment="1">
      <alignment horizontal="right" vertical="center"/>
    </xf>
    <xf numFmtId="0" fontId="24" fillId="15" borderId="16" xfId="6" applyFont="1" applyFill="1" applyBorder="1" applyAlignment="1">
      <alignment horizontal="center" vertical="center" wrapText="1"/>
    </xf>
    <xf numFmtId="0" fontId="24" fillId="15" borderId="8" xfId="6" applyFont="1" applyFill="1" applyBorder="1" applyAlignment="1">
      <alignment horizontal="center" vertical="center" wrapText="1"/>
    </xf>
    <xf numFmtId="0" fontId="24" fillId="15" borderId="17" xfId="6" quotePrefix="1" applyFont="1" applyFill="1" applyBorder="1" applyAlignment="1">
      <alignment horizontal="center" vertical="center" wrapText="1"/>
    </xf>
    <xf numFmtId="0" fontId="20" fillId="0" borderId="83" xfId="0" applyFont="1" applyBorder="1" applyAlignment="1">
      <alignment vertical="top" wrapText="1"/>
    </xf>
    <xf numFmtId="0" fontId="20" fillId="0" borderId="90" xfId="0" applyFont="1" applyBorder="1" applyAlignment="1">
      <alignment vertical="top" wrapText="1"/>
    </xf>
    <xf numFmtId="0" fontId="20" fillId="0" borderId="83" xfId="0" applyFont="1" applyBorder="1" applyAlignment="1">
      <alignment horizontal="left" vertical="top" wrapText="1"/>
    </xf>
    <xf numFmtId="0" fontId="106" fillId="0" borderId="0" xfId="0" applyFont="1" applyAlignment="1" applyProtection="1">
      <alignment horizontal="center" vertical="center"/>
      <protection hidden="1"/>
    </xf>
    <xf numFmtId="0" fontId="35" fillId="6" borderId="0" xfId="2" applyFont="1" applyFill="1"/>
    <xf numFmtId="0" fontId="9" fillId="6" borderId="0" xfId="2" applyFill="1"/>
    <xf numFmtId="0" fontId="85" fillId="6" borderId="0" xfId="2" applyFont="1" applyFill="1"/>
    <xf numFmtId="0" fontId="86" fillId="6" borderId="0" xfId="2" applyFont="1" applyFill="1"/>
    <xf numFmtId="0" fontId="38" fillId="6" borderId="0" xfId="2" applyFont="1" applyFill="1"/>
    <xf numFmtId="0" fontId="39" fillId="6" borderId="25" xfId="2" applyFont="1" applyFill="1" applyBorder="1" applyAlignment="1">
      <alignment horizontal="center" vertical="center"/>
    </xf>
    <xf numFmtId="0" fontId="40" fillId="3" borderId="0" xfId="2" applyFont="1" applyFill="1" applyAlignment="1">
      <alignment horizontal="center" vertical="center" wrapText="1"/>
    </xf>
    <xf numFmtId="0" fontId="39" fillId="6" borderId="26" xfId="2" applyFont="1" applyFill="1" applyBorder="1" applyAlignment="1">
      <alignment horizontal="center" vertical="center"/>
    </xf>
    <xf numFmtId="0" fontId="39" fillId="6" borderId="27" xfId="2" applyFont="1" applyFill="1" applyBorder="1" applyAlignment="1">
      <alignment horizontal="center" vertical="center"/>
    </xf>
    <xf numFmtId="0" fontId="37" fillId="6" borderId="25" xfId="2" applyFont="1" applyFill="1" applyBorder="1" applyAlignment="1">
      <alignment horizontal="center" vertical="center"/>
    </xf>
    <xf numFmtId="0" fontId="37" fillId="6" borderId="26" xfId="2" applyFont="1" applyFill="1" applyBorder="1" applyAlignment="1">
      <alignment horizontal="center" vertical="center"/>
    </xf>
    <xf numFmtId="0" fontId="37" fillId="6" borderId="27" xfId="2" applyFont="1" applyFill="1" applyBorder="1" applyAlignment="1">
      <alignment horizontal="center" vertical="center"/>
    </xf>
    <xf numFmtId="0" fontId="37" fillId="6" borderId="0" xfId="2" applyFont="1" applyFill="1" applyAlignment="1">
      <alignment horizontal="center" vertical="center"/>
    </xf>
    <xf numFmtId="0" fontId="39" fillId="6" borderId="0" xfId="2" applyFont="1" applyFill="1" applyAlignment="1">
      <alignment horizontal="left" vertical="center" wrapText="1"/>
    </xf>
    <xf numFmtId="0" fontId="35" fillId="6" borderId="0" xfId="2" applyFont="1" applyFill="1" applyAlignment="1">
      <alignment horizontal="center" vertical="center"/>
    </xf>
    <xf numFmtId="164" fontId="35" fillId="6" borderId="0" xfId="2" applyNumberFormat="1" applyFont="1" applyFill="1" applyAlignment="1">
      <alignment horizontal="center" vertical="center"/>
    </xf>
    <xf numFmtId="164" fontId="39" fillId="6" borderId="0" xfId="2" applyNumberFormat="1" applyFont="1" applyFill="1" applyAlignment="1">
      <alignment horizontal="center" vertical="center" wrapText="1"/>
    </xf>
    <xf numFmtId="0" fontId="42" fillId="3" borderId="0" xfId="3" applyFont="1" applyFill="1" applyAlignment="1">
      <alignment horizontal="left"/>
    </xf>
    <xf numFmtId="10" fontId="100" fillId="6" borderId="0" xfId="2" applyNumberFormat="1" applyFont="1" applyFill="1" applyAlignment="1">
      <alignment horizontal="left" vertical="center" wrapText="1"/>
    </xf>
    <xf numFmtId="0" fontId="81" fillId="0" borderId="0" xfId="6" applyFont="1" applyAlignment="1">
      <alignment horizontal="center"/>
    </xf>
    <xf numFmtId="0" fontId="9" fillId="3" borderId="0" xfId="2" applyFill="1"/>
    <xf numFmtId="0" fontId="30" fillId="3" borderId="0" xfId="2" applyFont="1" applyFill="1"/>
    <xf numFmtId="0" fontId="30" fillId="3" borderId="2" xfId="2" applyFont="1" applyFill="1" applyBorder="1"/>
    <xf numFmtId="0" fontId="30" fillId="3" borderId="3" xfId="2" applyFont="1" applyFill="1" applyBorder="1"/>
    <xf numFmtId="0" fontId="30" fillId="3" borderId="5" xfId="2" applyFont="1" applyFill="1" applyBorder="1"/>
    <xf numFmtId="164" fontId="9" fillId="3" borderId="0" xfId="2" applyNumberFormat="1" applyFill="1" applyAlignment="1">
      <alignment horizontal="center"/>
    </xf>
    <xf numFmtId="0" fontId="44" fillId="3" borderId="57" xfId="3" applyFont="1" applyFill="1" applyBorder="1" applyAlignment="1">
      <alignment horizontal="left" vertical="center"/>
    </xf>
    <xf numFmtId="0" fontId="44" fillId="3" borderId="61" xfId="3" applyFont="1" applyFill="1" applyBorder="1" applyAlignment="1">
      <alignment horizontal="center" vertical="center"/>
    </xf>
    <xf numFmtId="164" fontId="44" fillId="3" borderId="43" xfId="3" applyNumberFormat="1" applyFont="1" applyFill="1" applyBorder="1" applyAlignment="1">
      <alignment horizontal="center" vertical="center"/>
    </xf>
    <xf numFmtId="0" fontId="26" fillId="6" borderId="0" xfId="2" applyFont="1" applyFill="1" applyAlignment="1">
      <alignment vertical="center"/>
    </xf>
    <xf numFmtId="0" fontId="81" fillId="3" borderId="50" xfId="2" applyFont="1" applyFill="1" applyBorder="1" applyAlignment="1">
      <alignment horizontal="center"/>
    </xf>
    <xf numFmtId="0" fontId="103" fillId="3" borderId="0" xfId="2" applyFont="1" applyFill="1" applyAlignment="1">
      <alignment horizontal="center"/>
    </xf>
    <xf numFmtId="0" fontId="35" fillId="0" borderId="0" xfId="3" applyFont="1"/>
    <xf numFmtId="0" fontId="42" fillId="0" borderId="0" xfId="3" applyFont="1" applyAlignment="1">
      <alignment horizontal="center"/>
    </xf>
    <xf numFmtId="0" fontId="37" fillId="4" borderId="32" xfId="3" applyFont="1" applyFill="1" applyBorder="1" applyAlignment="1">
      <alignment horizontal="right"/>
    </xf>
    <xf numFmtId="0" fontId="37" fillId="4" borderId="30" xfId="3" applyFont="1" applyFill="1" applyBorder="1" applyAlignment="1">
      <alignment horizontal="right"/>
    </xf>
    <xf numFmtId="0" fontId="45" fillId="4" borderId="30" xfId="3" applyFont="1" applyFill="1" applyBorder="1" applyAlignment="1">
      <alignment horizontal="right"/>
    </xf>
    <xf numFmtId="0" fontId="37" fillId="4" borderId="31" xfId="3" applyFont="1" applyFill="1" applyBorder="1" applyAlignment="1">
      <alignment horizontal="right"/>
    </xf>
    <xf numFmtId="0" fontId="37" fillId="4" borderId="31" xfId="3" applyFont="1" applyFill="1" applyBorder="1"/>
    <xf numFmtId="0" fontId="37" fillId="4" borderId="50" xfId="3" applyFont="1" applyFill="1" applyBorder="1"/>
    <xf numFmtId="0" fontId="37" fillId="0" borderId="31" xfId="3" applyFont="1" applyBorder="1" applyAlignment="1">
      <alignment horizontal="left"/>
    </xf>
    <xf numFmtId="0" fontId="37" fillId="0" borderId="50" xfId="3" applyFont="1" applyBorder="1" applyAlignment="1">
      <alignment horizontal="left"/>
    </xf>
    <xf numFmtId="0" fontId="37" fillId="0" borderId="51" xfId="3" applyFont="1" applyBorder="1" applyAlignment="1">
      <alignment horizontal="left"/>
    </xf>
    <xf numFmtId="0" fontId="35" fillId="0" borderId="0" xfId="3" applyFont="1" applyAlignment="1">
      <alignment horizontal="left"/>
    </xf>
    <xf numFmtId="0" fontId="46" fillId="0" borderId="0" xfId="3" applyFont="1"/>
    <xf numFmtId="0" fontId="42" fillId="3" borderId="0" xfId="3" applyFont="1" applyFill="1" applyAlignment="1">
      <alignment horizontal="center"/>
    </xf>
    <xf numFmtId="0" fontId="47" fillId="3" borderId="52" xfId="3" applyFont="1" applyFill="1" applyBorder="1" applyAlignment="1">
      <alignment horizontal="left"/>
    </xf>
    <xf numFmtId="0" fontId="42" fillId="3" borderId="53" xfId="3" applyFont="1" applyFill="1" applyBorder="1" applyAlignment="1">
      <alignment horizontal="center"/>
    </xf>
    <xf numFmtId="9" fontId="42" fillId="3" borderId="53" xfId="3" applyNumberFormat="1" applyFont="1" applyFill="1" applyBorder="1" applyAlignment="1">
      <alignment horizontal="center"/>
    </xf>
    <xf numFmtId="0" fontId="42" fillId="3" borderId="54" xfId="3" applyFont="1" applyFill="1" applyBorder="1" applyAlignment="1">
      <alignment horizontal="center"/>
    </xf>
    <xf numFmtId="0" fontId="42" fillId="3" borderId="13" xfId="3" applyFont="1" applyFill="1" applyBorder="1" applyAlignment="1">
      <alignment horizontal="center"/>
    </xf>
    <xf numFmtId="0" fontId="35" fillId="0" borderId="26" xfId="3" applyFont="1" applyBorder="1" applyAlignment="1">
      <alignment horizontal="center" vertical="center"/>
    </xf>
    <xf numFmtId="0" fontId="35" fillId="0" borderId="19" xfId="3" applyFont="1" applyBorder="1" applyAlignment="1">
      <alignment horizontal="left" vertical="center"/>
    </xf>
    <xf numFmtId="165" fontId="35" fillId="0" borderId="19" xfId="3" applyNumberFormat="1" applyFont="1" applyBorder="1" applyAlignment="1">
      <alignment horizontal="center" vertical="center"/>
    </xf>
    <xf numFmtId="1" fontId="35" fillId="0" borderId="19" xfId="3" applyNumberFormat="1" applyFont="1" applyBorder="1" applyAlignment="1">
      <alignment horizontal="center" vertical="center"/>
    </xf>
    <xf numFmtId="1" fontId="35" fillId="2" borderId="19" xfId="3" applyNumberFormat="1" applyFont="1" applyFill="1" applyBorder="1" applyAlignment="1">
      <alignment horizontal="center" vertical="center"/>
    </xf>
    <xf numFmtId="0" fontId="35" fillId="2" borderId="19" xfId="3" applyFont="1" applyFill="1" applyBorder="1" applyAlignment="1">
      <alignment horizontal="center" vertical="center"/>
    </xf>
    <xf numFmtId="164" fontId="35" fillId="0" borderId="19" xfId="3" applyNumberFormat="1" applyFont="1" applyBorder="1" applyAlignment="1">
      <alignment horizontal="center" vertical="center"/>
    </xf>
    <xf numFmtId="0" fontId="35" fillId="0" borderId="36" xfId="3" applyFont="1" applyBorder="1" applyAlignment="1">
      <alignment horizontal="center" vertical="center" shrinkToFit="1"/>
    </xf>
    <xf numFmtId="0" fontId="35" fillId="0" borderId="11" xfId="3" applyFont="1" applyBorder="1" applyAlignment="1">
      <alignment horizontal="left" vertical="center"/>
    </xf>
    <xf numFmtId="165" fontId="35" fillId="0" borderId="11" xfId="3" applyNumberFormat="1" applyFont="1" applyBorder="1" applyAlignment="1">
      <alignment horizontal="center" vertical="center"/>
    </xf>
    <xf numFmtId="0" fontId="35" fillId="0" borderId="11" xfId="3" applyFont="1" applyBorder="1" applyAlignment="1">
      <alignment horizontal="center" vertical="center"/>
    </xf>
    <xf numFmtId="0" fontId="35" fillId="2" borderId="11" xfId="3" applyFont="1" applyFill="1" applyBorder="1" applyAlignment="1">
      <alignment horizontal="center" vertical="center"/>
    </xf>
    <xf numFmtId="164" fontId="35" fillId="0" borderId="11" xfId="3" applyNumberFormat="1" applyFont="1" applyBorder="1" applyAlignment="1">
      <alignment horizontal="center" vertical="center"/>
    </xf>
    <xf numFmtId="0" fontId="35" fillId="0" borderId="12" xfId="3" applyFont="1" applyBorder="1" applyAlignment="1">
      <alignment horizontal="center" vertical="center" shrinkToFit="1"/>
    </xf>
    <xf numFmtId="0" fontId="35" fillId="0" borderId="23" xfId="3" applyFont="1" applyBorder="1" applyAlignment="1">
      <alignment horizontal="left" vertical="center"/>
    </xf>
    <xf numFmtId="165" fontId="35" fillId="0" borderId="23" xfId="3" applyNumberFormat="1" applyFont="1" applyBorder="1" applyAlignment="1">
      <alignment horizontal="center" vertical="center"/>
    </xf>
    <xf numFmtId="0" fontId="35" fillId="0" borderId="23" xfId="3" applyFont="1" applyBorder="1" applyAlignment="1">
      <alignment horizontal="center" vertical="center"/>
    </xf>
    <xf numFmtId="164" fontId="35" fillId="0" borderId="23" xfId="3" applyNumberFormat="1" applyFont="1" applyBorder="1" applyAlignment="1">
      <alignment horizontal="center" vertical="center"/>
    </xf>
    <xf numFmtId="0" fontId="35" fillId="0" borderId="28" xfId="3" applyFont="1" applyBorder="1" applyAlignment="1">
      <alignment horizontal="center" vertical="center" shrinkToFit="1"/>
    </xf>
    <xf numFmtId="0" fontId="47" fillId="3" borderId="52" xfId="3" applyFont="1" applyFill="1" applyBorder="1" applyAlignment="1">
      <alignment horizontal="left" vertical="center"/>
    </xf>
    <xf numFmtId="0" fontId="42" fillId="3" borderId="53" xfId="3" applyFont="1" applyFill="1" applyBorder="1" applyAlignment="1">
      <alignment horizontal="center" vertical="center"/>
    </xf>
    <xf numFmtId="9" fontId="42" fillId="3" borderId="53" xfId="3" applyNumberFormat="1" applyFont="1" applyFill="1" applyBorder="1" applyAlignment="1">
      <alignment horizontal="center" vertical="center"/>
    </xf>
    <xf numFmtId="0" fontId="47" fillId="3" borderId="38" xfId="3" applyFont="1" applyFill="1" applyBorder="1" applyAlignment="1">
      <alignment horizontal="left" vertical="center"/>
    </xf>
    <xf numFmtId="0" fontId="42" fillId="3" borderId="47" xfId="3" applyFont="1" applyFill="1" applyBorder="1" applyAlignment="1">
      <alignment horizontal="center" vertical="center"/>
    </xf>
    <xf numFmtId="9" fontId="42" fillId="3" borderId="47" xfId="3" applyNumberFormat="1" applyFont="1" applyFill="1" applyBorder="1" applyAlignment="1">
      <alignment horizontal="center" vertical="center"/>
    </xf>
    <xf numFmtId="0" fontId="19" fillId="3" borderId="0" xfId="0" applyFont="1" applyFill="1"/>
    <xf numFmtId="0" fontId="32" fillId="0" borderId="0" xfId="3" applyFont="1"/>
    <xf numFmtId="0" fontId="25" fillId="3" borderId="0" xfId="0" applyFont="1" applyFill="1"/>
    <xf numFmtId="0" fontId="42" fillId="3" borderId="63" xfId="3" applyFont="1" applyFill="1" applyBorder="1" applyAlignment="1">
      <alignment horizontal="center" vertical="center"/>
    </xf>
    <xf numFmtId="0" fontId="37" fillId="10" borderId="1" xfId="3" applyFont="1" applyFill="1" applyBorder="1" applyAlignment="1">
      <alignment horizontal="right"/>
    </xf>
    <xf numFmtId="0" fontId="37" fillId="10" borderId="4" xfId="3" applyFont="1" applyFill="1" applyBorder="1" applyAlignment="1">
      <alignment horizontal="right"/>
    </xf>
    <xf numFmtId="0" fontId="37" fillId="10" borderId="6" xfId="3" applyFont="1" applyFill="1" applyBorder="1" applyAlignment="1">
      <alignment horizontal="right"/>
    </xf>
    <xf numFmtId="1" fontId="35" fillId="0" borderId="36" xfId="3" applyNumberFormat="1" applyFont="1" applyBorder="1" applyAlignment="1">
      <alignment horizontal="center" vertical="center"/>
    </xf>
    <xf numFmtId="0" fontId="35" fillId="3" borderId="11" xfId="3" applyFont="1" applyFill="1" applyBorder="1" applyAlignment="1">
      <alignment horizontal="center" vertical="center"/>
    </xf>
    <xf numFmtId="0" fontId="35" fillId="2" borderId="23" xfId="3" applyFont="1" applyFill="1" applyBorder="1" applyAlignment="1">
      <alignment horizontal="center" vertical="center"/>
    </xf>
    <xf numFmtId="0" fontId="47" fillId="3" borderId="25" xfId="3" applyFont="1" applyFill="1" applyBorder="1" applyAlignment="1">
      <alignment horizontal="left" vertical="center"/>
    </xf>
    <xf numFmtId="0" fontId="42" fillId="3" borderId="55" xfId="3" applyFont="1" applyFill="1" applyBorder="1" applyAlignment="1">
      <alignment horizontal="center" vertical="center"/>
    </xf>
    <xf numFmtId="0" fontId="47" fillId="3" borderId="26" xfId="3" applyFont="1" applyFill="1" applyBorder="1" applyAlignment="1">
      <alignment horizontal="left" vertical="center"/>
    </xf>
    <xf numFmtId="0" fontId="42" fillId="3" borderId="44" xfId="3" applyFont="1" applyFill="1" applyBorder="1" applyAlignment="1">
      <alignment horizontal="center" vertical="center"/>
    </xf>
    <xf numFmtId="167" fontId="42" fillId="3" borderId="45" xfId="3" applyNumberFormat="1" applyFont="1" applyFill="1" applyBorder="1" applyAlignment="1">
      <alignment horizontal="center" vertical="center"/>
    </xf>
    <xf numFmtId="0" fontId="42" fillId="3" borderId="45" xfId="3" applyFont="1" applyFill="1" applyBorder="1" applyAlignment="1">
      <alignment horizontal="center" vertical="center"/>
    </xf>
    <xf numFmtId="0" fontId="47" fillId="3" borderId="27" xfId="3" applyFont="1" applyFill="1" applyBorder="1" applyAlignment="1">
      <alignment horizontal="left" vertical="center"/>
    </xf>
    <xf numFmtId="0" fontId="42" fillId="3" borderId="59" xfId="3" applyFont="1" applyFill="1" applyBorder="1" applyAlignment="1">
      <alignment horizontal="center" vertical="center"/>
    </xf>
    <xf numFmtId="167" fontId="42" fillId="3" borderId="63" xfId="3" applyNumberFormat="1" applyFont="1" applyFill="1" applyBorder="1" applyAlignment="1">
      <alignment horizontal="center" vertical="center"/>
    </xf>
    <xf numFmtId="0" fontId="37" fillId="5" borderId="32" xfId="3" applyFont="1" applyFill="1" applyBorder="1" applyAlignment="1">
      <alignment horizontal="right"/>
    </xf>
    <xf numFmtId="0" fontId="37" fillId="5" borderId="32" xfId="3" applyFont="1" applyFill="1" applyBorder="1"/>
    <xf numFmtId="0" fontId="37" fillId="5" borderId="47" xfId="3" applyFont="1" applyFill="1" applyBorder="1"/>
    <xf numFmtId="0" fontId="37" fillId="5" borderId="30" xfId="3" applyFont="1" applyFill="1" applyBorder="1" applyAlignment="1">
      <alignment horizontal="right"/>
    </xf>
    <xf numFmtId="0" fontId="37" fillId="5" borderId="30" xfId="3" applyFont="1" applyFill="1" applyBorder="1"/>
    <xf numFmtId="0" fontId="37" fillId="5" borderId="0" xfId="3" applyFont="1" applyFill="1"/>
    <xf numFmtId="0" fontId="37" fillId="5" borderId="31" xfId="3" applyFont="1" applyFill="1" applyBorder="1" applyAlignment="1">
      <alignment horizontal="right"/>
    </xf>
    <xf numFmtId="0" fontId="37" fillId="5" borderId="31" xfId="3" applyFont="1" applyFill="1" applyBorder="1"/>
    <xf numFmtId="0" fontId="37" fillId="5" borderId="50" xfId="3" applyFont="1" applyFill="1" applyBorder="1"/>
    <xf numFmtId="0" fontId="35" fillId="0" borderId="50" xfId="3" applyFont="1" applyBorder="1"/>
    <xf numFmtId="0" fontId="37" fillId="0" borderId="50" xfId="3" applyFont="1" applyBorder="1"/>
    <xf numFmtId="0" fontId="37" fillId="0" borderId="51" xfId="3" applyFont="1" applyBorder="1"/>
    <xf numFmtId="1" fontId="35" fillId="0" borderId="11" xfId="3" applyNumberFormat="1" applyFont="1" applyBorder="1" applyAlignment="1">
      <alignment horizontal="center" vertical="center"/>
    </xf>
    <xf numFmtId="0" fontId="43" fillId="0" borderId="48" xfId="4" applyFont="1" applyBorder="1" applyAlignment="1">
      <alignment horizontal="center"/>
    </xf>
    <xf numFmtId="0" fontId="43" fillId="0" borderId="23" xfId="4" applyFont="1" applyBorder="1" applyAlignment="1">
      <alignment horizontal="center"/>
    </xf>
    <xf numFmtId="0" fontId="43" fillId="0" borderId="28" xfId="4" applyFont="1" applyBorder="1" applyAlignment="1">
      <alignment horizontal="center"/>
    </xf>
    <xf numFmtId="0" fontId="19" fillId="0" borderId="53" xfId="4" applyFont="1" applyBorder="1" applyAlignment="1">
      <alignment vertical="top" wrapText="1"/>
    </xf>
    <xf numFmtId="0" fontId="19" fillId="0" borderId="10" xfId="4" applyFont="1" applyBorder="1" applyAlignment="1">
      <alignment horizontal="center" vertical="center" wrapText="1"/>
    </xf>
    <xf numFmtId="0" fontId="52" fillId="0" borderId="83" xfId="4" applyFont="1" applyBorder="1" applyAlignment="1">
      <alignment horizontal="center" vertical="center" wrapText="1"/>
    </xf>
    <xf numFmtId="0" fontId="19" fillId="0" borderId="45" xfId="4" applyFont="1" applyBorder="1" applyAlignment="1">
      <alignment vertical="top" wrapText="1"/>
    </xf>
    <xf numFmtId="0" fontId="19" fillId="0" borderId="12" xfId="4" applyFont="1" applyBorder="1" applyAlignment="1">
      <alignment horizontal="center" vertical="center" wrapText="1"/>
    </xf>
    <xf numFmtId="0" fontId="52" fillId="0" borderId="85" xfId="4" applyFont="1" applyBorder="1" applyAlignment="1">
      <alignment horizontal="center" vertical="center" wrapText="1"/>
    </xf>
    <xf numFmtId="0" fontId="3" fillId="0" borderId="0" xfId="4" applyFont="1"/>
    <xf numFmtId="0" fontId="19" fillId="0" borderId="63" xfId="4" applyFont="1" applyBorder="1" applyAlignment="1">
      <alignment vertical="top" wrapText="1"/>
    </xf>
    <xf numFmtId="0" fontId="19" fillId="0" borderId="18" xfId="4" applyFont="1" applyBorder="1" applyAlignment="1">
      <alignment horizontal="center" vertical="center" wrapText="1"/>
    </xf>
    <xf numFmtId="0" fontId="52" fillId="0" borderId="90" xfId="4" applyFont="1" applyBorder="1" applyAlignment="1">
      <alignment horizontal="center" vertical="center" wrapText="1"/>
    </xf>
    <xf numFmtId="0" fontId="55" fillId="0" borderId="0" xfId="4" applyFont="1" applyAlignment="1">
      <alignment horizontal="left" wrapText="1"/>
    </xf>
    <xf numFmtId="164" fontId="7" fillId="0" borderId="0" xfId="4" applyNumberFormat="1" applyAlignment="1">
      <alignment horizontal="right"/>
    </xf>
    <xf numFmtId="164" fontId="7" fillId="0" borderId="0" xfId="4" applyNumberFormat="1"/>
    <xf numFmtId="0" fontId="50" fillId="0" borderId="4" xfId="4" applyFont="1" applyBorder="1" applyAlignment="1">
      <alignment vertical="center" wrapText="1"/>
    </xf>
    <xf numFmtId="0" fontId="50" fillId="0" borderId="0" xfId="4" applyFont="1" applyAlignment="1">
      <alignment vertical="center" wrapText="1"/>
    </xf>
    <xf numFmtId="0" fontId="50" fillId="0" borderId="5" xfId="4" applyFont="1" applyBorder="1" applyAlignment="1">
      <alignment vertical="center" wrapText="1"/>
    </xf>
    <xf numFmtId="0" fontId="2" fillId="0" borderId="0" xfId="4" applyFont="1"/>
    <xf numFmtId="164" fontId="2" fillId="0" borderId="0" xfId="4" applyNumberFormat="1" applyFont="1" applyAlignment="1">
      <alignment horizontal="right"/>
    </xf>
    <xf numFmtId="164" fontId="2" fillId="0" borderId="0" xfId="4" applyNumberFormat="1" applyFont="1"/>
    <xf numFmtId="0" fontId="2" fillId="0" borderId="0" xfId="4" applyFont="1" applyAlignment="1">
      <alignment horizontal="center"/>
    </xf>
    <xf numFmtId="0" fontId="51" fillId="11" borderId="11" xfId="4" applyFont="1" applyFill="1" applyBorder="1" applyAlignment="1">
      <alignment horizontal="center" vertical="center" wrapText="1"/>
    </xf>
    <xf numFmtId="164" fontId="2" fillId="0" borderId="0" xfId="4" applyNumberFormat="1" applyFont="1" applyAlignment="1">
      <alignment horizontal="center"/>
    </xf>
    <xf numFmtId="0" fontId="2" fillId="0" borderId="0" xfId="4" applyFont="1" applyAlignment="1">
      <alignment horizontal="left"/>
    </xf>
    <xf numFmtId="0" fontId="48" fillId="0" borderId="0" xfId="4" applyFont="1" applyAlignment="1">
      <alignment vertical="top"/>
    </xf>
    <xf numFmtId="164" fontId="48" fillId="0" borderId="0" xfId="4" applyNumberFormat="1" applyFont="1" applyAlignment="1">
      <alignment horizontal="right" vertical="top"/>
    </xf>
    <xf numFmtId="0" fontId="2" fillId="0" borderId="0" xfId="4" applyFont="1" applyAlignment="1">
      <alignment horizontal="center" vertical="top"/>
    </xf>
    <xf numFmtId="164" fontId="2" fillId="0" borderId="0" xfId="4" applyNumberFormat="1" applyFont="1" applyAlignment="1">
      <alignment horizontal="center" vertical="top"/>
    </xf>
    <xf numFmtId="0" fontId="19" fillId="0" borderId="26" xfId="4" applyFont="1" applyBorder="1" applyAlignment="1">
      <alignment horizontal="center" vertical="top" wrapText="1"/>
    </xf>
    <xf numFmtId="0" fontId="19" fillId="0" borderId="46" xfId="4" applyFont="1" applyBorder="1" applyAlignment="1">
      <alignment vertical="top" wrapText="1"/>
    </xf>
    <xf numFmtId="0" fontId="19" fillId="0" borderId="46" xfId="4" applyFont="1" applyBorder="1" applyAlignment="1">
      <alignment horizontal="center" vertical="top" wrapText="1"/>
    </xf>
    <xf numFmtId="0" fontId="19" fillId="0" borderId="11" xfId="4" applyFont="1" applyBorder="1" applyAlignment="1">
      <alignment vertical="top" wrapText="1"/>
    </xf>
    <xf numFmtId="0" fontId="7" fillId="0" borderId="0" xfId="4" applyAlignment="1">
      <alignment vertical="top"/>
    </xf>
    <xf numFmtId="164" fontId="2" fillId="0" borderId="0" xfId="4" applyNumberFormat="1" applyFont="1" applyAlignment="1">
      <alignment horizontal="right" vertical="top"/>
    </xf>
    <xf numFmtId="0" fontId="2" fillId="0" borderId="0" xfId="4" applyFont="1" applyAlignment="1">
      <alignment horizontal="right" vertical="top"/>
    </xf>
    <xf numFmtId="0" fontId="1" fillId="0" borderId="0" xfId="4" applyFont="1" applyAlignment="1">
      <alignment horizontal="center" vertical="top"/>
    </xf>
    <xf numFmtId="0" fontId="2" fillId="0" borderId="0" xfId="4" applyFont="1" applyAlignment="1">
      <alignment vertical="top"/>
    </xf>
    <xf numFmtId="0" fontId="19" fillId="0" borderId="42" xfId="4" applyFont="1" applyBorder="1" applyAlignment="1">
      <alignment horizontal="center" vertical="top" wrapText="1"/>
    </xf>
    <xf numFmtId="0" fontId="19" fillId="0" borderId="48" xfId="4" applyFont="1" applyBorder="1" applyAlignment="1">
      <alignment vertical="top" wrapText="1"/>
    </xf>
    <xf numFmtId="0" fontId="19" fillId="0" borderId="48" xfId="4" applyFont="1" applyBorder="1" applyAlignment="1">
      <alignment horizontal="center" vertical="top" wrapText="1"/>
    </xf>
    <xf numFmtId="0" fontId="19" fillId="0" borderId="23" xfId="4" applyFont="1" applyBorder="1" applyAlignment="1">
      <alignment vertical="top" wrapText="1"/>
    </xf>
    <xf numFmtId="0" fontId="53" fillId="0" borderId="0" xfId="4" applyFont="1" applyAlignment="1">
      <alignment vertical="top"/>
    </xf>
    <xf numFmtId="0" fontId="19" fillId="0" borderId="52" xfId="4" applyFont="1" applyBorder="1" applyAlignment="1">
      <alignment vertical="top"/>
    </xf>
    <xf numFmtId="0" fontId="19" fillId="0" borderId="56" xfId="4" applyFont="1" applyBorder="1" applyAlignment="1">
      <alignment vertical="top" wrapText="1"/>
    </xf>
    <xf numFmtId="0" fontId="19" fillId="0" borderId="55" xfId="4" applyFont="1" applyBorder="1" applyAlignment="1">
      <alignment vertical="top"/>
    </xf>
    <xf numFmtId="0" fontId="19" fillId="0" borderId="72" xfId="4" applyFont="1" applyBorder="1" applyAlignment="1">
      <alignment vertical="top"/>
    </xf>
    <xf numFmtId="0" fontId="19" fillId="0" borderId="44" xfId="4" applyFont="1" applyBorder="1" applyAlignment="1">
      <alignment vertical="top"/>
    </xf>
    <xf numFmtId="0" fontId="19" fillId="0" borderId="62" xfId="4" applyFont="1" applyBorder="1" applyAlignment="1">
      <alignment vertical="top"/>
    </xf>
    <xf numFmtId="0" fontId="19" fillId="0" borderId="60" xfId="4" applyFont="1" applyBorder="1" applyAlignment="1">
      <alignment vertical="top" wrapText="1"/>
    </xf>
    <xf numFmtId="0" fontId="19" fillId="0" borderId="59" xfId="4" applyFont="1" applyBorder="1" applyAlignment="1">
      <alignment vertical="top"/>
    </xf>
    <xf numFmtId="0" fontId="7" fillId="0" borderId="0" xfId="4" applyAlignment="1">
      <alignment horizontal="center" vertical="top"/>
    </xf>
    <xf numFmtId="164" fontId="7" fillId="0" borderId="0" xfId="4" applyNumberFormat="1" applyAlignment="1">
      <alignment horizontal="center"/>
    </xf>
    <xf numFmtId="0" fontId="23" fillId="0" borderId="16" xfId="0" applyFont="1" applyBorder="1" applyAlignment="1">
      <alignment horizontal="center" vertical="center" wrapText="1"/>
    </xf>
    <xf numFmtId="0" fontId="20" fillId="0" borderId="89" xfId="0" applyFont="1" applyBorder="1" applyAlignment="1">
      <alignment vertical="top" wrapText="1"/>
    </xf>
    <xf numFmtId="0" fontId="23" fillId="0" borderId="104" xfId="0" applyFont="1" applyBorder="1" applyAlignment="1">
      <alignment horizontal="center" vertical="center" wrapText="1"/>
    </xf>
    <xf numFmtId="0" fontId="20" fillId="0" borderId="104" xfId="0" applyFont="1" applyBorder="1" applyAlignment="1">
      <alignment vertical="top" wrapText="1"/>
    </xf>
    <xf numFmtId="0" fontId="20" fillId="0" borderId="104" xfId="6" applyFont="1" applyBorder="1" applyAlignment="1">
      <alignment vertical="top" wrapText="1"/>
    </xf>
    <xf numFmtId="0" fontId="7" fillId="16" borderId="73" xfId="6" applyFill="1" applyBorder="1"/>
    <xf numFmtId="0" fontId="7" fillId="16" borderId="74" xfId="6" applyFill="1" applyBorder="1"/>
    <xf numFmtId="0" fontId="7" fillId="16" borderId="75" xfId="6" applyFill="1" applyBorder="1"/>
    <xf numFmtId="49" fontId="11" fillId="16" borderId="76" xfId="6" applyNumberFormat="1" applyFont="1" applyFill="1" applyBorder="1" applyProtection="1">
      <protection hidden="1"/>
    </xf>
    <xf numFmtId="0" fontId="7" fillId="16" borderId="0" xfId="6" applyFill="1"/>
    <xf numFmtId="0" fontId="7" fillId="16" borderId="77" xfId="6" applyFill="1" applyBorder="1"/>
    <xf numFmtId="0" fontId="7" fillId="16" borderId="76" xfId="6" applyFill="1" applyBorder="1"/>
    <xf numFmtId="0" fontId="95" fillId="16" borderId="0" xfId="6" applyFont="1" applyFill="1" applyAlignment="1">
      <alignment horizontal="right" vertical="center"/>
    </xf>
    <xf numFmtId="0" fontId="7" fillId="16" borderId="76" xfId="6" applyFill="1" applyBorder="1" applyAlignment="1">
      <alignment vertical="center"/>
    </xf>
    <xf numFmtId="0" fontId="7" fillId="16" borderId="0" xfId="6" applyFill="1" applyAlignment="1">
      <alignment vertical="center"/>
    </xf>
    <xf numFmtId="0" fontId="7" fillId="16" borderId="77" xfId="6" applyFill="1" applyBorder="1" applyAlignment="1">
      <alignment vertical="center"/>
    </xf>
    <xf numFmtId="0" fontId="53" fillId="16" borderId="76" xfId="6" applyFont="1" applyFill="1" applyBorder="1" applyAlignment="1">
      <alignment horizontal="left" indent="1"/>
    </xf>
    <xf numFmtId="0" fontId="16" fillId="16" borderId="0" xfId="6" applyFont="1" applyFill="1"/>
    <xf numFmtId="0" fontId="7" fillId="16" borderId="78" xfId="6" applyFill="1" applyBorder="1"/>
    <xf numFmtId="0" fontId="16" fillId="16" borderId="79" xfId="6" applyFont="1" applyFill="1" applyBorder="1"/>
    <xf numFmtId="0" fontId="7" fillId="16" borderId="79" xfId="6" applyFill="1" applyBorder="1"/>
    <xf numFmtId="0" fontId="7" fillId="16" borderId="80" xfId="6" applyFill="1" applyBorder="1"/>
    <xf numFmtId="1" fontId="35" fillId="0" borderId="84" xfId="6" applyNumberFormat="1" applyFont="1" applyBorder="1" applyAlignment="1" applyProtection="1">
      <alignment horizontal="center" vertical="center"/>
    </xf>
    <xf numFmtId="1" fontId="35" fillId="0" borderId="33" xfId="6" applyNumberFormat="1" applyFont="1" applyBorder="1" applyAlignment="1" applyProtection="1">
      <alignment horizontal="center" vertical="center"/>
    </xf>
    <xf numFmtId="1" fontId="35" fillId="0" borderId="27" xfId="6" applyNumberFormat="1" applyFont="1" applyBorder="1" applyAlignment="1" applyProtection="1">
      <alignment horizontal="center" vertical="center"/>
    </xf>
    <xf numFmtId="1" fontId="35" fillId="2" borderId="56" xfId="6" applyNumberFormat="1" applyFont="1" applyFill="1" applyBorder="1" applyAlignment="1" applyProtection="1">
      <alignment horizontal="center" vertical="center"/>
    </xf>
    <xf numFmtId="1" fontId="35" fillId="2" borderId="9" xfId="6" applyNumberFormat="1" applyFont="1" applyFill="1" applyBorder="1" applyAlignment="1" applyProtection="1">
      <alignment horizontal="center" vertical="center"/>
    </xf>
    <xf numFmtId="1" fontId="35" fillId="0" borderId="26" xfId="6" applyNumberFormat="1" applyFont="1" applyFill="1" applyBorder="1" applyAlignment="1" applyProtection="1">
      <alignment horizontal="center" vertical="center"/>
      <protection locked="0"/>
    </xf>
    <xf numFmtId="1" fontId="35" fillId="2" borderId="46" xfId="6" applyNumberFormat="1" applyFont="1" applyFill="1" applyBorder="1" applyAlignment="1" applyProtection="1">
      <alignment horizontal="center" vertical="center"/>
    </xf>
    <xf numFmtId="1" fontId="35" fillId="2" borderId="11" xfId="6" applyNumberFormat="1" applyFont="1" applyFill="1" applyBorder="1" applyAlignment="1" applyProtection="1">
      <alignment horizontal="center" vertical="center"/>
    </xf>
    <xf numFmtId="1" fontId="35" fillId="0" borderId="11" xfId="6" applyNumberFormat="1" applyFont="1" applyFill="1" applyBorder="1" applyAlignment="1" applyProtection="1">
      <alignment horizontal="center" vertical="center"/>
      <protection locked="0"/>
    </xf>
    <xf numFmtId="1" fontId="35" fillId="0" borderId="27" xfId="6" applyNumberFormat="1" applyFont="1" applyFill="1" applyBorder="1" applyAlignment="1" applyProtection="1">
      <alignment horizontal="center" vertical="center"/>
      <protection locked="0"/>
    </xf>
    <xf numFmtId="1" fontId="35" fillId="2" borderId="60" xfId="6" applyNumberFormat="1" applyFont="1" applyFill="1" applyBorder="1" applyAlignment="1" applyProtection="1">
      <alignment horizontal="center" vertical="center"/>
    </xf>
    <xf numFmtId="1" fontId="35" fillId="0" borderId="13" xfId="6" applyNumberFormat="1" applyFont="1" applyFill="1" applyBorder="1" applyAlignment="1" applyProtection="1">
      <alignment horizontal="center" vertical="center"/>
      <protection locked="0"/>
    </xf>
    <xf numFmtId="1" fontId="35" fillId="18" borderId="25" xfId="6" applyNumberFormat="1" applyFont="1" applyFill="1" applyBorder="1" applyAlignment="1" applyProtection="1">
      <alignment horizontal="center" vertical="center"/>
    </xf>
    <xf numFmtId="1" fontId="35" fillId="18" borderId="26" xfId="6" applyNumberFormat="1" applyFont="1" applyFill="1" applyBorder="1" applyAlignment="1" applyProtection="1">
      <alignment horizontal="center" vertical="center"/>
    </xf>
    <xf numFmtId="49" fontId="14" fillId="0" borderId="9" xfId="6" applyNumberFormat="1" applyFont="1" applyBorder="1" applyAlignment="1" applyProtection="1">
      <alignment horizontal="left" vertical="center" indent="1" shrinkToFit="1"/>
    </xf>
    <xf numFmtId="0" fontId="14" fillId="0" borderId="11" xfId="6" applyFont="1" applyBorder="1" applyAlignment="1" applyProtection="1">
      <alignment horizontal="left" vertical="center" indent="1" shrinkToFit="1"/>
    </xf>
    <xf numFmtId="0" fontId="14" fillId="0" borderId="11" xfId="6" applyFont="1" applyBorder="1" applyAlignment="1" applyProtection="1">
      <alignment horizontal="left" vertical="center" indent="1"/>
    </xf>
    <xf numFmtId="0" fontId="89" fillId="0" borderId="11" xfId="8" applyBorder="1" applyAlignment="1" applyProtection="1">
      <alignment horizontal="left" vertical="center" indent="1"/>
    </xf>
    <xf numFmtId="0" fontId="35" fillId="0" borderId="0" xfId="6" applyFont="1" applyProtection="1"/>
    <xf numFmtId="0" fontId="35" fillId="6" borderId="9" xfId="2" applyFont="1" applyFill="1" applyBorder="1" applyAlignment="1" applyProtection="1">
      <alignment horizontal="center" vertical="center"/>
    </xf>
    <xf numFmtId="0" fontId="35" fillId="6" borderId="11" xfId="2" applyFont="1" applyFill="1" applyBorder="1" applyAlignment="1" applyProtection="1">
      <alignment horizontal="center" vertical="center"/>
    </xf>
    <xf numFmtId="0" fontId="35" fillId="6" borderId="13" xfId="2" applyFont="1" applyFill="1" applyBorder="1" applyAlignment="1" applyProtection="1">
      <alignment horizontal="center" vertical="center"/>
    </xf>
    <xf numFmtId="0" fontId="19" fillId="0" borderId="11" xfId="4" applyFont="1" applyBorder="1" applyAlignment="1" applyProtection="1">
      <alignment vertical="top" wrapText="1"/>
    </xf>
    <xf numFmtId="0" fontId="52" fillId="0" borderId="11" xfId="4" applyFont="1" applyBorder="1" applyAlignment="1" applyProtection="1">
      <alignment vertical="top" wrapText="1"/>
    </xf>
    <xf numFmtId="0" fontId="52" fillId="0" borderId="12" xfId="4" applyFont="1" applyBorder="1" applyAlignment="1" applyProtection="1">
      <alignment vertical="top" wrapText="1"/>
    </xf>
    <xf numFmtId="0" fontId="19" fillId="0" borderId="23" xfId="4" applyFont="1" applyBorder="1" applyAlignment="1" applyProtection="1">
      <alignment vertical="top" wrapText="1"/>
    </xf>
    <xf numFmtId="0" fontId="52" fillId="0" borderId="23" xfId="4" applyFont="1" applyBorder="1" applyAlignment="1" applyProtection="1">
      <alignment vertical="top" wrapText="1"/>
    </xf>
    <xf numFmtId="0" fontId="52" fillId="0" borderId="28" xfId="4" applyFont="1" applyBorder="1" applyAlignment="1" applyProtection="1">
      <alignment vertical="top" wrapText="1"/>
    </xf>
    <xf numFmtId="0" fontId="52" fillId="0" borderId="19" xfId="4" applyFont="1" applyBorder="1" applyAlignment="1" applyProtection="1">
      <alignment vertical="top" wrapText="1"/>
    </xf>
    <xf numFmtId="0" fontId="52" fillId="0" borderId="36" xfId="4" applyFont="1" applyBorder="1" applyAlignment="1" applyProtection="1">
      <alignment vertical="top" wrapText="1"/>
    </xf>
    <xf numFmtId="0" fontId="52" fillId="0" borderId="13" xfId="4" applyFont="1" applyBorder="1" applyAlignment="1" applyProtection="1">
      <alignment vertical="top" wrapText="1"/>
    </xf>
    <xf numFmtId="0" fontId="52" fillId="0" borderId="18" xfId="4" applyFont="1" applyBorder="1" applyAlignment="1" applyProtection="1">
      <alignment vertical="top" wrapText="1"/>
    </xf>
    <xf numFmtId="0" fontId="34" fillId="0" borderId="0" xfId="6" applyFont="1" applyAlignment="1" applyProtection="1">
      <alignment horizontal="center" vertical="top"/>
      <protection hidden="1"/>
    </xf>
    <xf numFmtId="0" fontId="36" fillId="0" borderId="0" xfId="6" applyFont="1" applyAlignment="1" applyProtection="1">
      <alignment horizontal="center" vertical="center"/>
      <protection hidden="1"/>
    </xf>
    <xf numFmtId="49" fontId="13" fillId="0" borderId="25" xfId="6" applyNumberFormat="1" applyFont="1" applyBorder="1" applyAlignment="1" applyProtection="1">
      <alignment horizontal="right" vertical="center" indent="1" shrinkToFit="1"/>
      <protection hidden="1"/>
    </xf>
    <xf numFmtId="49" fontId="13" fillId="0" borderId="9" xfId="6" applyNumberFormat="1" applyFont="1" applyBorder="1" applyAlignment="1" applyProtection="1">
      <alignment horizontal="right" vertical="center" indent="1" shrinkToFit="1"/>
      <protection hidden="1"/>
    </xf>
    <xf numFmtId="0" fontId="37" fillId="0" borderId="9" xfId="6" applyFont="1" applyBorder="1" applyAlignment="1" applyProtection="1">
      <alignment horizontal="left" vertical="center" indent="1"/>
      <protection hidden="1"/>
    </xf>
    <xf numFmtId="0" fontId="44" fillId="0" borderId="25" xfId="6" applyFont="1" applyBorder="1" applyAlignment="1" applyProtection="1">
      <alignment horizontal="right" vertical="center" shrinkToFit="1"/>
      <protection hidden="1"/>
    </xf>
    <xf numFmtId="0" fontId="44" fillId="0" borderId="9" xfId="6" applyFont="1" applyBorder="1" applyAlignment="1" applyProtection="1">
      <alignment horizontal="right" vertical="center" shrinkToFit="1"/>
      <protection hidden="1"/>
    </xf>
    <xf numFmtId="0" fontId="44" fillId="0" borderId="9" xfId="6" applyFont="1" applyBorder="1" applyAlignment="1" applyProtection="1">
      <alignment horizontal="left" vertical="center" indent="1"/>
      <protection hidden="1"/>
    </xf>
    <xf numFmtId="0" fontId="44" fillId="0" borderId="10" xfId="6" applyFont="1" applyBorder="1" applyAlignment="1" applyProtection="1">
      <alignment horizontal="left" vertical="center" indent="1"/>
      <protection hidden="1"/>
    </xf>
    <xf numFmtId="0" fontId="13" fillId="0" borderId="26" xfId="6" applyFont="1" applyBorder="1" applyAlignment="1" applyProtection="1">
      <alignment horizontal="right" vertical="center" indent="1" shrinkToFit="1"/>
      <protection hidden="1"/>
    </xf>
    <xf numFmtId="0" fontId="13" fillId="0" borderId="11" xfId="6" applyFont="1" applyBorder="1" applyAlignment="1" applyProtection="1">
      <alignment horizontal="right" vertical="center" indent="1" shrinkToFit="1"/>
      <protection hidden="1"/>
    </xf>
    <xf numFmtId="0" fontId="37" fillId="0" borderId="11" xfId="6" applyFont="1" applyBorder="1" applyAlignment="1" applyProtection="1">
      <alignment horizontal="left" vertical="center" indent="1"/>
      <protection hidden="1"/>
    </xf>
    <xf numFmtId="0" fontId="44" fillId="0" borderId="26" xfId="6" applyFont="1" applyBorder="1" applyAlignment="1" applyProtection="1">
      <alignment horizontal="right"/>
      <protection hidden="1"/>
    </xf>
    <xf numFmtId="0" fontId="44" fillId="0" borderId="11" xfId="6" applyFont="1" applyBorder="1" applyAlignment="1" applyProtection="1">
      <alignment horizontal="right"/>
      <protection hidden="1"/>
    </xf>
    <xf numFmtId="0" fontId="42" fillId="0" borderId="44" xfId="6" applyFont="1" applyBorder="1" applyAlignment="1" applyProtection="1">
      <alignment horizontal="left" indent="1"/>
      <protection hidden="1"/>
    </xf>
    <xf numFmtId="0" fontId="42" fillId="0" borderId="81" xfId="6" applyFont="1" applyBorder="1" applyAlignment="1" applyProtection="1">
      <alignment horizontal="left" indent="1"/>
      <protection hidden="1"/>
    </xf>
    <xf numFmtId="0" fontId="13" fillId="0" borderId="72" xfId="6" applyFont="1" applyBorder="1" applyAlignment="1" applyProtection="1">
      <alignment horizontal="right" vertical="center" indent="1" shrinkToFit="1"/>
      <protection hidden="1"/>
    </xf>
    <xf numFmtId="0" fontId="13" fillId="0" borderId="45" xfId="6" applyFont="1" applyBorder="1" applyAlignment="1" applyProtection="1">
      <alignment horizontal="right" vertical="center" indent="1" shrinkToFit="1"/>
      <protection hidden="1"/>
    </xf>
    <xf numFmtId="0" fontId="13" fillId="0" borderId="46" xfId="6" applyFont="1" applyBorder="1" applyAlignment="1" applyProtection="1">
      <alignment horizontal="right" vertical="center" indent="1" shrinkToFit="1"/>
      <protection hidden="1"/>
    </xf>
    <xf numFmtId="49" fontId="37" fillId="0" borderId="11" xfId="6" applyNumberFormat="1" applyFont="1" applyBorder="1" applyAlignment="1" applyProtection="1">
      <alignment horizontal="left" vertical="center" indent="1"/>
      <protection hidden="1"/>
    </xf>
    <xf numFmtId="0" fontId="44" fillId="0" borderId="26" xfId="6" applyFont="1" applyBorder="1" applyAlignment="1" applyProtection="1">
      <alignment horizontal="right" vertical="center" shrinkToFit="1"/>
      <protection hidden="1"/>
    </xf>
    <xf numFmtId="0" fontId="44" fillId="0" borderId="11" xfId="6" applyFont="1" applyBorder="1" applyAlignment="1" applyProtection="1">
      <alignment horizontal="right" vertical="center" shrinkToFit="1"/>
      <protection hidden="1"/>
    </xf>
    <xf numFmtId="0" fontId="37" fillId="0" borderId="11" xfId="6" applyFont="1" applyBorder="1" applyAlignment="1" applyProtection="1">
      <alignment horizontal="left" vertical="center" indent="1" shrinkToFit="1"/>
      <protection hidden="1"/>
    </xf>
    <xf numFmtId="0" fontId="37" fillId="0" borderId="12" xfId="6" applyFont="1" applyBorder="1" applyAlignment="1" applyProtection="1">
      <alignment horizontal="left" vertical="center" indent="1" shrinkToFit="1"/>
      <protection hidden="1"/>
    </xf>
    <xf numFmtId="0" fontId="108" fillId="0" borderId="0" xfId="6" applyFont="1" applyAlignment="1" applyProtection="1">
      <alignment horizontal="left" vertical="top" wrapText="1"/>
      <protection hidden="1"/>
    </xf>
    <xf numFmtId="0" fontId="44" fillId="0" borderId="72" xfId="6" applyFont="1" applyBorder="1" applyAlignment="1" applyProtection="1">
      <alignment horizontal="right" vertical="center" shrinkToFit="1"/>
      <protection hidden="1"/>
    </xf>
    <xf numFmtId="0" fontId="44" fillId="0" borderId="45" xfId="6" applyFont="1" applyBorder="1" applyAlignment="1" applyProtection="1">
      <alignment horizontal="right" vertical="center" shrinkToFit="1"/>
      <protection hidden="1"/>
    </xf>
    <xf numFmtId="0" fontId="44" fillId="0" borderId="46" xfId="6" applyFont="1" applyBorder="1" applyAlignment="1" applyProtection="1">
      <alignment horizontal="right" vertical="center" shrinkToFit="1"/>
      <protection hidden="1"/>
    </xf>
    <xf numFmtId="0" fontId="37" fillId="0" borderId="44" xfId="6" applyFont="1" applyBorder="1" applyAlignment="1" applyProtection="1">
      <alignment horizontal="left" vertical="center" indent="1" shrinkToFit="1"/>
      <protection hidden="1"/>
    </xf>
    <xf numFmtId="0" fontId="37" fillId="0" borderId="81" xfId="6" applyFont="1" applyBorder="1" applyAlignment="1" applyProtection="1">
      <alignment horizontal="left" vertical="center" indent="1" shrinkToFit="1"/>
      <protection hidden="1"/>
    </xf>
    <xf numFmtId="0" fontId="13" fillId="0" borderId="62" xfId="6" applyFont="1" applyBorder="1" applyAlignment="1" applyProtection="1">
      <alignment horizontal="right" vertical="center" indent="1" shrinkToFit="1"/>
      <protection hidden="1"/>
    </xf>
    <xf numFmtId="0" fontId="13" fillId="0" borderId="63" xfId="6" applyFont="1" applyBorder="1" applyAlignment="1" applyProtection="1">
      <alignment horizontal="right" vertical="center" indent="1" shrinkToFit="1"/>
      <protection hidden="1"/>
    </xf>
    <xf numFmtId="0" fontId="13" fillId="0" borderId="60" xfId="6" applyFont="1" applyBorder="1" applyAlignment="1" applyProtection="1">
      <alignment horizontal="right" vertical="center" indent="1" shrinkToFit="1"/>
      <protection hidden="1"/>
    </xf>
    <xf numFmtId="0" fontId="37" fillId="0" borderId="13" xfId="6" applyFont="1" applyBorder="1" applyAlignment="1" applyProtection="1">
      <alignment horizontal="left" vertical="center" indent="1"/>
      <protection hidden="1"/>
    </xf>
    <xf numFmtId="0" fontId="44" fillId="0" borderId="27" xfId="6" applyFont="1" applyBorder="1" applyAlignment="1" applyProtection="1">
      <alignment horizontal="right"/>
      <protection hidden="1"/>
    </xf>
    <xf numFmtId="0" fontId="44" fillId="0" borderId="13" xfId="6" applyFont="1" applyBorder="1" applyAlignment="1" applyProtection="1">
      <alignment horizontal="right"/>
      <protection hidden="1"/>
    </xf>
    <xf numFmtId="0" fontId="35" fillId="0" borderId="13" xfId="6" applyFont="1" applyBorder="1" applyAlignment="1" applyProtection="1">
      <alignment horizontal="left" indent="1" shrinkToFit="1"/>
      <protection hidden="1"/>
    </xf>
    <xf numFmtId="0" fontId="35" fillId="0" borderId="18" xfId="6" applyFont="1" applyBorder="1" applyAlignment="1" applyProtection="1">
      <alignment horizontal="left" indent="1" shrinkToFit="1"/>
      <protection hidden="1"/>
    </xf>
    <xf numFmtId="0" fontId="15" fillId="0" borderId="0" xfId="6" applyFont="1" applyAlignment="1">
      <alignment horizontal="center" vertical="center" wrapText="1"/>
    </xf>
    <xf numFmtId="0" fontId="7" fillId="0" borderId="0" xfId="6"/>
    <xf numFmtId="0" fontId="94" fillId="0" borderId="44" xfId="6" applyFont="1" applyBorder="1" applyAlignment="1" applyProtection="1">
      <alignment horizontal="center" vertical="center" shrinkToFit="1"/>
      <protection locked="0"/>
    </xf>
    <xf numFmtId="0" fontId="94" fillId="0" borderId="45" xfId="6" applyFont="1" applyBorder="1" applyAlignment="1" applyProtection="1">
      <alignment horizontal="center" vertical="center" shrinkToFit="1"/>
      <protection locked="0"/>
    </xf>
    <xf numFmtId="0" fontId="94" fillId="0" borderId="46" xfId="6" applyFont="1" applyBorder="1" applyAlignment="1" applyProtection="1">
      <alignment horizontal="center" vertical="center" shrinkToFit="1"/>
      <protection locked="0"/>
    </xf>
    <xf numFmtId="0" fontId="94" fillId="0" borderId="44" xfId="1" applyFont="1" applyBorder="1" applyAlignment="1" applyProtection="1">
      <alignment horizontal="center" vertical="center" shrinkToFit="1"/>
      <protection locked="0"/>
    </xf>
    <xf numFmtId="0" fontId="94" fillId="0" borderId="45" xfId="1" applyFont="1" applyBorder="1" applyAlignment="1" applyProtection="1">
      <alignment horizontal="center" vertical="center" shrinkToFit="1"/>
      <protection locked="0"/>
    </xf>
    <xf numFmtId="0" fontId="94" fillId="0" borderId="46" xfId="1" applyFont="1" applyBorder="1" applyAlignment="1" applyProtection="1">
      <alignment horizontal="center" vertical="center" shrinkToFit="1"/>
      <protection locked="0"/>
    </xf>
    <xf numFmtId="0" fontId="70" fillId="0" borderId="0" xfId="6" applyFont="1" applyAlignment="1">
      <alignment horizontal="center" vertical="center" wrapText="1"/>
    </xf>
    <xf numFmtId="0" fontId="34" fillId="0" borderId="0" xfId="6" applyFont="1" applyAlignment="1">
      <alignment horizontal="center" vertical="top"/>
    </xf>
    <xf numFmtId="0" fontId="36" fillId="0" borderId="0" xfId="6" applyFont="1" applyAlignment="1">
      <alignment horizontal="center" vertical="center"/>
    </xf>
    <xf numFmtId="49" fontId="13" fillId="0" borderId="25" xfId="6" applyNumberFormat="1" applyFont="1" applyBorder="1" applyAlignment="1">
      <alignment horizontal="right" vertical="center" indent="1" shrinkToFit="1"/>
    </xf>
    <xf numFmtId="49" fontId="13" fillId="0" borderId="9" xfId="6" applyNumberFormat="1" applyFont="1" applyBorder="1" applyAlignment="1">
      <alignment horizontal="right" vertical="center" indent="1" shrinkToFit="1"/>
    </xf>
    <xf numFmtId="0" fontId="37" fillId="0" borderId="9" xfId="6" applyFont="1" applyBorder="1" applyAlignment="1" applyProtection="1">
      <alignment horizontal="left" vertical="center" indent="1"/>
    </xf>
    <xf numFmtId="0" fontId="44" fillId="0" borderId="25" xfId="6" applyFont="1" applyBorder="1" applyAlignment="1">
      <alignment horizontal="right" vertical="center" shrinkToFit="1"/>
    </xf>
    <xf numFmtId="0" fontId="44" fillId="0" borderId="9" xfId="6" applyFont="1" applyBorder="1" applyAlignment="1">
      <alignment horizontal="right" vertical="center" shrinkToFit="1"/>
    </xf>
    <xf numFmtId="49" fontId="44" fillId="0" borderId="9" xfId="6" applyNumberFormat="1" applyFont="1" applyBorder="1" applyAlignment="1" applyProtection="1">
      <alignment horizontal="left" vertical="center" indent="1"/>
    </xf>
    <xf numFmtId="0" fontId="13" fillId="0" borderId="26" xfId="6" applyFont="1" applyBorder="1" applyAlignment="1">
      <alignment horizontal="right" vertical="center" indent="1" shrinkToFit="1"/>
    </xf>
    <xf numFmtId="0" fontId="13" fillId="0" borderId="11" xfId="6" applyFont="1" applyBorder="1" applyAlignment="1">
      <alignment horizontal="right" vertical="center" indent="1" shrinkToFit="1"/>
    </xf>
    <xf numFmtId="0" fontId="37" fillId="0" borderId="11" xfId="6" applyFont="1" applyBorder="1" applyAlignment="1" applyProtection="1">
      <alignment horizontal="left" vertical="center" indent="1"/>
    </xf>
    <xf numFmtId="0" fontId="44" fillId="0" borderId="26" xfId="6" applyFont="1" applyBorder="1" applyAlignment="1">
      <alignment horizontal="right"/>
    </xf>
    <xf numFmtId="0" fontId="44" fillId="0" borderId="11" xfId="6" applyFont="1" applyBorder="1" applyAlignment="1">
      <alignment horizontal="right"/>
    </xf>
    <xf numFmtId="49" fontId="44" fillId="0" borderId="11" xfId="6" applyNumberFormat="1" applyFont="1" applyBorder="1" applyAlignment="1" applyProtection="1">
      <alignment horizontal="left" vertical="center" indent="1"/>
    </xf>
    <xf numFmtId="0" fontId="13" fillId="0" borderId="38" xfId="6" applyFont="1" applyBorder="1" applyAlignment="1">
      <alignment horizontal="right" vertical="center" shrinkToFit="1"/>
    </xf>
    <xf numFmtId="0" fontId="13" fillId="0" borderId="37" xfId="6" applyFont="1" applyBorder="1" applyAlignment="1">
      <alignment horizontal="right" vertical="center" shrinkToFit="1"/>
    </xf>
    <xf numFmtId="0" fontId="13" fillId="0" borderId="72" xfId="6" applyFont="1" applyBorder="1" applyAlignment="1">
      <alignment horizontal="right" vertical="center" indent="1" shrinkToFit="1"/>
    </xf>
    <xf numFmtId="0" fontId="13" fillId="0" borderId="45" xfId="6" applyFont="1" applyBorder="1" applyAlignment="1">
      <alignment horizontal="right" vertical="center" indent="1" shrinkToFit="1"/>
    </xf>
    <xf numFmtId="0" fontId="13" fillId="0" borderId="46" xfId="6" applyFont="1" applyBorder="1" applyAlignment="1">
      <alignment horizontal="right" vertical="center" indent="1" shrinkToFit="1"/>
    </xf>
    <xf numFmtId="49" fontId="37" fillId="0" borderId="44" xfId="6" applyNumberFormat="1" applyFont="1" applyBorder="1" applyAlignment="1" applyProtection="1">
      <alignment horizontal="left" vertical="center" indent="1"/>
    </xf>
    <xf numFmtId="49" fontId="37" fillId="0" borderId="45" xfId="6" applyNumberFormat="1" applyFont="1" applyBorder="1" applyAlignment="1" applyProtection="1">
      <alignment horizontal="left" vertical="center" indent="1"/>
    </xf>
    <xf numFmtId="49" fontId="37" fillId="0" borderId="46" xfId="6" applyNumberFormat="1" applyFont="1" applyBorder="1" applyAlignment="1" applyProtection="1">
      <alignment horizontal="left" vertical="center" indent="1"/>
    </xf>
    <xf numFmtId="0" fontId="44" fillId="0" borderId="26" xfId="6" applyFont="1" applyBorder="1" applyAlignment="1">
      <alignment horizontal="right" vertical="center" shrinkToFit="1"/>
    </xf>
    <xf numFmtId="0" fontId="44" fillId="0" borderId="11" xfId="6" applyFont="1" applyBorder="1" applyAlignment="1">
      <alignment horizontal="right" vertical="center" shrinkToFit="1"/>
    </xf>
    <xf numFmtId="0" fontId="37" fillId="0" borderId="11" xfId="6" applyFont="1" applyBorder="1" applyAlignment="1" applyProtection="1">
      <alignment horizontal="left" vertical="center" indent="1" shrinkToFit="1"/>
    </xf>
    <xf numFmtId="0" fontId="37" fillId="0" borderId="44" xfId="6" applyFont="1" applyBorder="1" applyAlignment="1" applyProtection="1">
      <alignment horizontal="left" vertical="center" indent="1"/>
    </xf>
    <xf numFmtId="0" fontId="37" fillId="0" borderId="45" xfId="6" applyFont="1" applyBorder="1" applyAlignment="1" applyProtection="1">
      <alignment horizontal="left" vertical="center" indent="1"/>
    </xf>
    <xf numFmtId="0" fontId="37" fillId="0" borderId="46" xfId="6" applyFont="1" applyBorder="1" applyAlignment="1" applyProtection="1">
      <alignment horizontal="left" vertical="center" indent="1"/>
    </xf>
    <xf numFmtId="0" fontId="44" fillId="0" borderId="1" xfId="6" applyFont="1" applyBorder="1" applyAlignment="1">
      <alignment horizontal="center" vertical="center" wrapText="1"/>
    </xf>
    <xf numFmtId="0" fontId="44" fillId="0" borderId="2" xfId="6" applyFont="1" applyBorder="1" applyAlignment="1">
      <alignment horizontal="center" vertical="center" wrapText="1"/>
    </xf>
    <xf numFmtId="0" fontId="44" fillId="0" borderId="3" xfId="6" applyFont="1" applyBorder="1" applyAlignment="1">
      <alignment horizontal="center" vertical="center" wrapText="1"/>
    </xf>
    <xf numFmtId="0" fontId="44" fillId="0" borderId="6" xfId="6" applyFont="1" applyBorder="1" applyAlignment="1">
      <alignment horizontal="center" vertical="center" wrapText="1"/>
    </xf>
    <xf numFmtId="0" fontId="44" fillId="0" borderId="7" xfId="6" applyFont="1" applyBorder="1" applyAlignment="1">
      <alignment horizontal="center" vertical="center" wrapText="1"/>
    </xf>
    <xf numFmtId="0" fontId="44" fillId="0" borderId="8" xfId="6" applyFont="1" applyBorder="1" applyAlignment="1">
      <alignment horizontal="center" vertical="center" wrapText="1"/>
    </xf>
    <xf numFmtId="0" fontId="13" fillId="0" borderId="72" xfId="6" applyFont="1" applyBorder="1" applyAlignment="1">
      <alignment horizontal="left" vertical="center" indent="2" shrinkToFit="1"/>
    </xf>
    <xf numFmtId="0" fontId="13" fillId="0" borderId="45" xfId="6" applyFont="1" applyBorder="1" applyAlignment="1">
      <alignment horizontal="left" vertical="center" indent="2" shrinkToFit="1"/>
    </xf>
    <xf numFmtId="0" fontId="13" fillId="0" borderId="46" xfId="6" applyFont="1" applyBorder="1" applyAlignment="1">
      <alignment horizontal="left" vertical="center" indent="2" shrinkToFit="1"/>
    </xf>
    <xf numFmtId="0" fontId="44" fillId="0" borderId="72" xfId="6" applyFont="1" applyBorder="1" applyAlignment="1">
      <alignment horizontal="right" vertical="center" shrinkToFit="1"/>
    </xf>
    <xf numFmtId="0" fontId="44" fillId="0" borderId="45" xfId="6" applyFont="1" applyBorder="1" applyAlignment="1">
      <alignment horizontal="right" vertical="center" shrinkToFit="1"/>
    </xf>
    <xf numFmtId="0" fontId="44" fillId="0" borderId="46" xfId="6" applyFont="1" applyBorder="1" applyAlignment="1">
      <alignment horizontal="right" vertical="center" shrinkToFit="1"/>
    </xf>
    <xf numFmtId="49" fontId="37" fillId="0" borderId="44" xfId="6" applyNumberFormat="1" applyFont="1" applyBorder="1" applyAlignment="1" applyProtection="1">
      <alignment horizontal="left" vertical="center" indent="1" shrinkToFit="1"/>
    </xf>
    <xf numFmtId="49" fontId="37" fillId="0" borderId="46" xfId="6" applyNumberFormat="1" applyFont="1" applyBorder="1" applyAlignment="1" applyProtection="1">
      <alignment horizontal="left" vertical="center" indent="1" shrinkToFit="1"/>
    </xf>
    <xf numFmtId="0" fontId="13" fillId="0" borderId="42" xfId="6" applyFont="1" applyBorder="1" applyAlignment="1">
      <alignment horizontal="right" vertical="center" indent="1" shrinkToFit="1"/>
    </xf>
    <xf numFmtId="0" fontId="13" fillId="0" borderId="23" xfId="6" applyFont="1" applyBorder="1" applyAlignment="1">
      <alignment horizontal="right" vertical="center" indent="1" shrinkToFit="1"/>
    </xf>
    <xf numFmtId="0" fontId="37" fillId="0" borderId="23" xfId="6" applyFont="1" applyBorder="1" applyAlignment="1" applyProtection="1">
      <alignment horizontal="left" vertical="center" indent="1"/>
    </xf>
    <xf numFmtId="0" fontId="37" fillId="0" borderId="44" xfId="6" applyFont="1" applyBorder="1" applyAlignment="1" applyProtection="1">
      <alignment horizontal="left" vertical="center" indent="1" shrinkToFit="1"/>
    </xf>
    <xf numFmtId="0" fontId="37" fillId="0" borderId="46" xfId="6" applyFont="1" applyBorder="1" applyAlignment="1" applyProtection="1">
      <alignment horizontal="left" vertical="center" indent="1" shrinkToFit="1"/>
    </xf>
    <xf numFmtId="0" fontId="13" fillId="0" borderId="62" xfId="6" applyFont="1" applyBorder="1" applyAlignment="1">
      <alignment horizontal="right" vertical="center" indent="1" shrinkToFit="1"/>
    </xf>
    <xf numFmtId="0" fontId="13" fillId="0" borderId="63" xfId="6" applyFont="1" applyBorder="1" applyAlignment="1">
      <alignment horizontal="right" vertical="center" indent="1" shrinkToFit="1"/>
    </xf>
    <xf numFmtId="0" fontId="13" fillId="0" borderId="60" xfId="6" applyFont="1" applyBorder="1" applyAlignment="1">
      <alignment horizontal="right" vertical="center" indent="1" shrinkToFit="1"/>
    </xf>
    <xf numFmtId="0" fontId="44" fillId="0" borderId="62" xfId="6" applyFont="1" applyBorder="1" applyAlignment="1">
      <alignment horizontal="right" vertical="center" shrinkToFit="1"/>
    </xf>
    <xf numFmtId="0" fontId="44" fillId="0" borderId="63" xfId="6" applyFont="1" applyBorder="1" applyAlignment="1">
      <alignment horizontal="right" vertical="center" shrinkToFit="1"/>
    </xf>
    <xf numFmtId="0" fontId="44" fillId="0" borderId="60" xfId="6" applyFont="1" applyBorder="1" applyAlignment="1">
      <alignment horizontal="right" vertical="center" shrinkToFit="1"/>
    </xf>
    <xf numFmtId="0" fontId="37" fillId="0" borderId="59" xfId="6" applyFont="1" applyBorder="1" applyAlignment="1" applyProtection="1">
      <alignment horizontal="left" vertical="center" indent="1" shrinkToFit="1"/>
    </xf>
    <xf numFmtId="0" fontId="37" fillId="0" borderId="60" xfId="6" applyFont="1" applyBorder="1" applyAlignment="1" applyProtection="1">
      <alignment horizontal="left" vertical="center" indent="1" shrinkToFit="1"/>
    </xf>
    <xf numFmtId="0" fontId="37" fillId="0" borderId="0" xfId="6" applyFont="1" applyAlignment="1">
      <alignment horizontal="center"/>
    </xf>
    <xf numFmtId="0" fontId="44" fillId="0" borderId="4" xfId="6" applyFont="1" applyBorder="1" applyAlignment="1">
      <alignment horizontal="center" vertical="center" wrapText="1"/>
    </xf>
    <xf numFmtId="0" fontId="44" fillId="0" borderId="0" xfId="6" applyFont="1" applyAlignment="1">
      <alignment horizontal="center" vertical="center" wrapText="1"/>
    </xf>
    <xf numFmtId="0" fontId="44" fillId="0" borderId="5" xfId="6" applyFont="1" applyBorder="1" applyAlignment="1">
      <alignment horizontal="center" vertical="center" wrapText="1"/>
    </xf>
    <xf numFmtId="0" fontId="72" fillId="0" borderId="0" xfId="6" applyFont="1" applyAlignment="1">
      <alignment horizontal="center" vertical="center"/>
    </xf>
    <xf numFmtId="0" fontId="38" fillId="0" borderId="0" xfId="6" applyFont="1" applyAlignment="1">
      <alignment horizontal="center" vertical="top"/>
    </xf>
    <xf numFmtId="0" fontId="44" fillId="0" borderId="53" xfId="6" applyFont="1" applyBorder="1" applyAlignment="1">
      <alignment horizontal="right" vertical="center"/>
    </xf>
    <xf numFmtId="0" fontId="26" fillId="0" borderId="55" xfId="6" applyFont="1" applyBorder="1" applyAlignment="1">
      <alignment horizontal="left" vertical="center" shrinkToFit="1"/>
    </xf>
    <xf numFmtId="0" fontId="26" fillId="0" borderId="53" xfId="6" applyFont="1" applyBorder="1" applyAlignment="1">
      <alignment horizontal="left" vertical="center" shrinkToFit="1"/>
    </xf>
    <xf numFmtId="0" fontId="26" fillId="0" borderId="54" xfId="6" applyFont="1" applyBorder="1" applyAlignment="1">
      <alignment horizontal="left" vertical="center" shrinkToFit="1"/>
    </xf>
    <xf numFmtId="1" fontId="26" fillId="0" borderId="55" xfId="6" applyNumberFormat="1" applyFont="1" applyBorder="1" applyAlignment="1" applyProtection="1">
      <alignment horizontal="left" vertical="center"/>
      <protection locked="0"/>
    </xf>
    <xf numFmtId="1" fontId="26" fillId="0" borderId="53" xfId="6" applyNumberFormat="1" applyFont="1" applyBorder="1" applyAlignment="1" applyProtection="1">
      <alignment horizontal="left" vertical="center"/>
      <protection locked="0"/>
    </xf>
    <xf numFmtId="1" fontId="26" fillId="0" borderId="54" xfId="6" applyNumberFormat="1" applyFont="1" applyBorder="1" applyAlignment="1" applyProtection="1">
      <alignment horizontal="left" vertical="center"/>
      <protection locked="0"/>
    </xf>
    <xf numFmtId="0" fontId="75" fillId="0" borderId="0" xfId="6" applyFont="1" applyAlignment="1">
      <alignment horizontal="center"/>
    </xf>
    <xf numFmtId="0" fontId="42" fillId="0" borderId="52" xfId="6" applyFont="1" applyBorder="1" applyAlignment="1">
      <alignment horizontal="right" vertical="center" indent="1"/>
    </xf>
    <xf numFmtId="0" fontId="80" fillId="0" borderId="44" xfId="6" applyFont="1" applyBorder="1" applyAlignment="1" applyProtection="1">
      <alignment horizontal="left" vertical="center"/>
      <protection locked="0"/>
    </xf>
    <xf numFmtId="0" fontId="80" fillId="0" borderId="45" xfId="6" applyFont="1" applyBorder="1" applyAlignment="1" applyProtection="1">
      <alignment horizontal="left" vertical="center"/>
      <protection locked="0"/>
    </xf>
    <xf numFmtId="0" fontId="80" fillId="0" borderId="46" xfId="6" applyFont="1" applyBorder="1" applyAlignment="1" applyProtection="1">
      <alignment horizontal="left" vertical="center"/>
      <protection locked="0"/>
    </xf>
    <xf numFmtId="0" fontId="99" fillId="0" borderId="44" xfId="6" applyFont="1" applyBorder="1" applyAlignment="1" applyProtection="1">
      <alignment horizontal="left" vertical="center"/>
      <protection locked="0"/>
    </xf>
    <xf numFmtId="0" fontId="99" fillId="0" borderId="45" xfId="6" applyFont="1" applyBorder="1" applyAlignment="1" applyProtection="1">
      <alignment horizontal="left" vertical="center"/>
      <protection locked="0"/>
    </xf>
    <xf numFmtId="0" fontId="99" fillId="0" borderId="46" xfId="6" applyFont="1" applyBorder="1" applyAlignment="1" applyProtection="1">
      <alignment horizontal="left" vertical="center"/>
      <protection locked="0"/>
    </xf>
    <xf numFmtId="0" fontId="99" fillId="0" borderId="11" xfId="6" applyFont="1" applyBorder="1" applyAlignment="1" applyProtection="1">
      <alignment horizontal="left" vertical="center"/>
      <protection locked="0"/>
    </xf>
    <xf numFmtId="0" fontId="80" fillId="0" borderId="11" xfId="6" applyFont="1" applyBorder="1" applyAlignment="1" applyProtection="1">
      <alignment horizontal="left" vertical="center"/>
      <protection locked="0"/>
    </xf>
    <xf numFmtId="0" fontId="80" fillId="0" borderId="50" xfId="6" applyFont="1" applyBorder="1" applyAlignment="1">
      <alignment horizontal="left" vertical="center"/>
    </xf>
    <xf numFmtId="0" fontId="26" fillId="0" borderId="44" xfId="6" applyFont="1" applyBorder="1" applyAlignment="1" applyProtection="1">
      <alignment horizontal="left" vertical="center"/>
      <protection locked="0"/>
    </xf>
    <xf numFmtId="0" fontId="26" fillId="0" borderId="45" xfId="6" applyFont="1" applyBorder="1" applyAlignment="1" applyProtection="1">
      <alignment horizontal="left" vertical="center"/>
      <protection locked="0"/>
    </xf>
    <xf numFmtId="0" fontId="26" fillId="0" borderId="81" xfId="6" applyFont="1" applyBorder="1" applyAlignment="1" applyProtection="1">
      <alignment horizontal="left" vertical="center"/>
      <protection locked="0"/>
    </xf>
    <xf numFmtId="14" fontId="26" fillId="0" borderId="59" xfId="6" applyNumberFormat="1" applyFont="1" applyBorder="1" applyAlignment="1" applyProtection="1">
      <alignment horizontal="left" vertical="center"/>
      <protection locked="0"/>
    </xf>
    <xf numFmtId="14" fontId="26" fillId="0" borderId="63" xfId="6" applyNumberFormat="1" applyFont="1" applyBorder="1" applyAlignment="1" applyProtection="1">
      <alignment horizontal="left" vertical="center"/>
      <protection locked="0"/>
    </xf>
    <xf numFmtId="14" fontId="26" fillId="0" borderId="65" xfId="6" applyNumberFormat="1" applyFont="1" applyBorder="1" applyAlignment="1" applyProtection="1">
      <alignment horizontal="left" vertical="center"/>
      <protection locked="0"/>
    </xf>
    <xf numFmtId="0" fontId="107" fillId="0" borderId="44" xfId="8" applyFont="1" applyBorder="1" applyAlignment="1" applyProtection="1">
      <alignment horizontal="left" vertical="center"/>
      <protection locked="0"/>
    </xf>
    <xf numFmtId="0" fontId="44" fillId="0" borderId="26" xfId="6" applyFont="1" applyBorder="1" applyAlignment="1">
      <alignment horizontal="center" vertical="center" wrapText="1"/>
    </xf>
    <xf numFmtId="0" fontId="44" fillId="0" borderId="27" xfId="6" applyFont="1" applyBorder="1" applyAlignment="1">
      <alignment horizontal="center" vertical="center" wrapText="1"/>
    </xf>
    <xf numFmtId="0" fontId="42" fillId="0" borderId="62" xfId="6" applyFont="1" applyBorder="1" applyAlignment="1">
      <alignment horizontal="center" vertical="center"/>
    </xf>
    <xf numFmtId="0" fontId="42" fillId="0" borderId="65" xfId="6" applyFont="1" applyBorder="1" applyAlignment="1">
      <alignment horizontal="center" vertical="center"/>
    </xf>
    <xf numFmtId="0" fontId="42" fillId="0" borderId="62" xfId="6" applyFont="1" applyBorder="1" applyAlignment="1">
      <alignment horizontal="right" vertical="center" indent="1"/>
    </xf>
    <xf numFmtId="0" fontId="42" fillId="0" borderId="63" xfId="6" applyFont="1" applyBorder="1" applyAlignment="1">
      <alignment horizontal="right" vertical="center" indent="1"/>
    </xf>
    <xf numFmtId="0" fontId="42" fillId="0" borderId="60" xfId="6" applyFont="1" applyBorder="1" applyAlignment="1">
      <alignment horizontal="right" vertical="center" indent="1"/>
    </xf>
    <xf numFmtId="164" fontId="42" fillId="0" borderId="59" xfId="6" applyNumberFormat="1" applyFont="1" applyBorder="1" applyAlignment="1">
      <alignment horizontal="center" vertical="center" wrapText="1"/>
    </xf>
    <xf numFmtId="164" fontId="42" fillId="0" borderId="65" xfId="6" applyNumberFormat="1" applyFont="1" applyBorder="1" applyAlignment="1">
      <alignment horizontal="center" vertical="center" wrapText="1"/>
    </xf>
    <xf numFmtId="168" fontId="42" fillId="0" borderId="37" xfId="6" applyNumberFormat="1" applyFont="1" applyBorder="1" applyAlignment="1" applyProtection="1">
      <alignment horizontal="center" vertical="center"/>
      <protection locked="0"/>
    </xf>
    <xf numFmtId="168" fontId="42" fillId="0" borderId="67" xfId="6" applyNumberFormat="1" applyFont="1" applyBorder="1" applyAlignment="1" applyProtection="1">
      <alignment horizontal="center" vertical="center"/>
      <protection locked="0"/>
    </xf>
    <xf numFmtId="164" fontId="42" fillId="0" borderId="31" xfId="6" applyNumberFormat="1" applyFont="1" applyBorder="1" applyAlignment="1">
      <alignment horizontal="center" vertical="center"/>
    </xf>
    <xf numFmtId="164" fontId="42" fillId="0" borderId="67" xfId="6" applyNumberFormat="1" applyFont="1" applyBorder="1" applyAlignment="1">
      <alignment horizontal="center" vertical="center"/>
    </xf>
    <xf numFmtId="0" fontId="26" fillId="0" borderId="44" xfId="6" applyFont="1" applyBorder="1" applyAlignment="1">
      <alignment horizontal="left" vertical="center" shrinkToFit="1"/>
    </xf>
    <xf numFmtId="0" fontId="26" fillId="0" borderId="45" xfId="6" applyFont="1" applyBorder="1" applyAlignment="1">
      <alignment horizontal="left" vertical="center" shrinkToFit="1"/>
    </xf>
    <xf numFmtId="0" fontId="26" fillId="0" borderId="81" xfId="6" applyFont="1" applyBorder="1" applyAlignment="1">
      <alignment horizontal="left" vertical="center" shrinkToFit="1"/>
    </xf>
    <xf numFmtId="0" fontId="26" fillId="0" borderId="59" xfId="6" applyFont="1" applyBorder="1" applyAlignment="1">
      <alignment horizontal="left" vertical="center" shrinkToFit="1"/>
    </xf>
    <xf numFmtId="0" fontId="26" fillId="0" borderId="63" xfId="6" applyFont="1" applyBorder="1" applyAlignment="1">
      <alignment horizontal="left" vertical="center" shrinkToFit="1"/>
    </xf>
    <xf numFmtId="0" fontId="26" fillId="0" borderId="65" xfId="6" applyFont="1" applyBorder="1" applyAlignment="1">
      <alignment horizontal="left" vertical="center" shrinkToFit="1"/>
    </xf>
    <xf numFmtId="0" fontId="35" fillId="0" borderId="42" xfId="6" applyFont="1" applyBorder="1" applyAlignment="1">
      <alignment horizontal="center" vertical="center"/>
    </xf>
    <xf numFmtId="0" fontId="35" fillId="0" borderId="66" xfId="6" applyFont="1" applyBorder="1" applyAlignment="1">
      <alignment horizontal="center" vertical="center"/>
    </xf>
    <xf numFmtId="0" fontId="35" fillId="0" borderId="33" xfId="6" applyFont="1" applyBorder="1" applyAlignment="1">
      <alignment horizontal="center" vertical="center"/>
    </xf>
    <xf numFmtId="0" fontId="42" fillId="0" borderId="10" xfId="6" applyFont="1" applyBorder="1" applyAlignment="1">
      <alignment horizontal="center" vertical="center" wrapText="1"/>
    </xf>
    <xf numFmtId="0" fontId="42" fillId="0" borderId="12" xfId="6" applyFont="1" applyBorder="1" applyAlignment="1">
      <alignment horizontal="center" vertical="center" wrapText="1"/>
    </xf>
    <xf numFmtId="0" fontId="42" fillId="0" borderId="28" xfId="6" applyFont="1" applyBorder="1" applyAlignment="1">
      <alignment horizontal="center" vertical="center" wrapText="1"/>
    </xf>
    <xf numFmtId="0" fontId="42" fillId="0" borderId="29" xfId="6" applyFont="1" applyBorder="1" applyAlignment="1">
      <alignment horizontal="center" vertical="center" wrapText="1"/>
    </xf>
    <xf numFmtId="0" fontId="42" fillId="0" borderId="24" xfId="6" applyFont="1" applyBorder="1" applyAlignment="1">
      <alignment horizontal="center" vertical="center" wrapText="1"/>
    </xf>
    <xf numFmtId="0" fontId="44" fillId="0" borderId="10" xfId="6" applyFont="1" applyBorder="1" applyAlignment="1">
      <alignment horizontal="center" vertical="center" wrapText="1"/>
    </xf>
    <xf numFmtId="0" fontId="44" fillId="0" borderId="12" xfId="6" applyFont="1" applyBorder="1" applyAlignment="1">
      <alignment horizontal="center" vertical="center" wrapText="1"/>
    </xf>
    <xf numFmtId="0" fontId="44" fillId="0" borderId="28" xfId="6" applyFont="1" applyBorder="1" applyAlignment="1">
      <alignment horizontal="center" vertical="center" wrapText="1"/>
    </xf>
    <xf numFmtId="0" fontId="44" fillId="0" borderId="45" xfId="6" applyFont="1" applyBorder="1" applyAlignment="1">
      <alignment horizontal="right" vertical="center"/>
    </xf>
    <xf numFmtId="0" fontId="44" fillId="0" borderId="63" xfId="6" applyFont="1" applyBorder="1" applyAlignment="1">
      <alignment horizontal="right" vertical="center"/>
    </xf>
    <xf numFmtId="0" fontId="42" fillId="0" borderId="25" xfId="6" applyFont="1" applyBorder="1" applyAlignment="1">
      <alignment horizontal="center" vertical="center" wrapText="1"/>
    </xf>
    <xf numFmtId="0" fontId="42" fillId="0" borderId="1" xfId="6" applyFont="1" applyBorder="1" applyAlignment="1">
      <alignment horizontal="center" vertical="center"/>
    </xf>
    <xf numFmtId="0" fontId="42" fillId="0" borderId="2" xfId="6" applyFont="1" applyBorder="1" applyAlignment="1">
      <alignment horizontal="center" vertical="center"/>
    </xf>
    <xf numFmtId="0" fontId="42" fillId="0" borderId="64" xfId="6" applyFont="1" applyBorder="1" applyAlignment="1">
      <alignment horizontal="center" vertical="center"/>
    </xf>
    <xf numFmtId="0" fontId="42" fillId="0" borderId="37" xfId="6" applyFont="1" applyBorder="1" applyAlignment="1">
      <alignment horizontal="center" vertical="center"/>
    </xf>
    <xf numFmtId="0" fontId="42" fillId="0" borderId="50" xfId="6" applyFont="1" applyBorder="1" applyAlignment="1">
      <alignment horizontal="center" vertical="center"/>
    </xf>
    <xf numFmtId="0" fontId="42" fillId="0" borderId="51" xfId="6" applyFont="1" applyBorder="1" applyAlignment="1">
      <alignment horizontal="center" vertical="center"/>
    </xf>
    <xf numFmtId="0" fontId="42" fillId="0" borderId="9" xfId="6" applyFont="1" applyBorder="1" applyAlignment="1">
      <alignment horizontal="center" vertical="center"/>
    </xf>
    <xf numFmtId="0" fontId="42" fillId="0" borderId="11" xfId="6" applyFont="1" applyBorder="1" applyAlignment="1">
      <alignment horizontal="center" vertical="center"/>
    </xf>
    <xf numFmtId="0" fontId="42" fillId="0" borderId="23" xfId="6" applyFont="1" applyBorder="1" applyAlignment="1">
      <alignment horizontal="center" vertical="center"/>
    </xf>
    <xf numFmtId="0" fontId="44" fillId="0" borderId="18" xfId="6" applyFont="1" applyBorder="1" applyAlignment="1">
      <alignment horizontal="center" vertical="center" wrapText="1"/>
    </xf>
    <xf numFmtId="0" fontId="44" fillId="0" borderId="0" xfId="6" applyFont="1" applyAlignment="1">
      <alignment horizontal="center" vertical="center"/>
    </xf>
    <xf numFmtId="0" fontId="44" fillId="0" borderId="7" xfId="6" applyFont="1" applyBorder="1" applyAlignment="1">
      <alignment horizontal="center" vertical="center"/>
    </xf>
    <xf numFmtId="0" fontId="44" fillId="0" borderId="8" xfId="6" applyFont="1" applyBorder="1" applyAlignment="1">
      <alignment horizontal="center" vertical="center"/>
    </xf>
    <xf numFmtId="0" fontId="35" fillId="0" borderId="20" xfId="6" applyFont="1" applyBorder="1" applyAlignment="1">
      <alignment horizontal="center" vertical="center"/>
    </xf>
    <xf numFmtId="0" fontId="32" fillId="0" borderId="72" xfId="6" applyFont="1" applyBorder="1" applyAlignment="1">
      <alignment horizontal="right" vertical="center"/>
    </xf>
    <xf numFmtId="0" fontId="32" fillId="0" borderId="46" xfId="6" applyFont="1" applyBorder="1" applyAlignment="1">
      <alignment horizontal="right" vertical="center"/>
    </xf>
    <xf numFmtId="0" fontId="44" fillId="0" borderId="52" xfId="6" applyFont="1" applyBorder="1" applyAlignment="1">
      <alignment horizontal="right" vertical="center"/>
    </xf>
    <xf numFmtId="0" fontId="44" fillId="0" borderId="56" xfId="6" applyFont="1" applyBorder="1" applyAlignment="1">
      <alignment horizontal="right" vertical="center"/>
    </xf>
    <xf numFmtId="0" fontId="44" fillId="0" borderId="72" xfId="6" applyFont="1" applyBorder="1" applyAlignment="1">
      <alignment horizontal="right" vertical="center"/>
    </xf>
    <xf numFmtId="0" fontId="44" fillId="0" borderId="46" xfId="6" applyFont="1" applyBorder="1" applyAlignment="1">
      <alignment horizontal="right" vertical="center"/>
    </xf>
    <xf numFmtId="0" fontId="44" fillId="0" borderId="62" xfId="6" applyFont="1" applyBorder="1" applyAlignment="1">
      <alignment horizontal="right" vertical="center"/>
    </xf>
    <xf numFmtId="0" fontId="44" fillId="0" borderId="60" xfId="6" applyFont="1" applyBorder="1" applyAlignment="1">
      <alignment horizontal="right" vertical="center"/>
    </xf>
    <xf numFmtId="0" fontId="35" fillId="0" borderId="82" xfId="6" applyFont="1" applyBorder="1" applyAlignment="1">
      <alignment horizontal="center" vertical="center"/>
    </xf>
    <xf numFmtId="0" fontId="42" fillId="0" borderId="26" xfId="6" applyFont="1" applyBorder="1" applyAlignment="1">
      <alignment horizontal="center" vertical="center" wrapText="1"/>
    </xf>
    <xf numFmtId="0" fontId="42" fillId="0" borderId="42" xfId="6" applyFont="1" applyBorder="1" applyAlignment="1">
      <alignment horizontal="center" vertical="center" wrapText="1"/>
    </xf>
    <xf numFmtId="0" fontId="43" fillId="0" borderId="29" xfId="6" applyFont="1" applyBorder="1" applyAlignment="1">
      <alignment horizontal="center" vertical="center" wrapText="1"/>
    </xf>
    <xf numFmtId="0" fontId="43" fillId="0" borderId="24" xfId="6" applyFont="1" applyBorder="1" applyAlignment="1">
      <alignment horizontal="center" vertical="center" wrapText="1"/>
    </xf>
    <xf numFmtId="0" fontId="91" fillId="0" borderId="11" xfId="6" applyFont="1" applyBorder="1" applyAlignment="1">
      <alignment horizontal="left" vertical="center" indent="1"/>
    </xf>
    <xf numFmtId="17" fontId="91" fillId="0" borderId="13" xfId="6" applyNumberFormat="1" applyFont="1" applyBorder="1" applyAlignment="1">
      <alignment horizontal="left" vertical="center" indent="1"/>
    </xf>
    <xf numFmtId="0" fontId="91" fillId="0" borderId="13" xfId="6" applyFont="1" applyBorder="1" applyAlignment="1">
      <alignment horizontal="left" vertical="center" indent="1"/>
    </xf>
    <xf numFmtId="0" fontId="21" fillId="16" borderId="7" xfId="6" applyFont="1" applyFill="1" applyBorder="1" applyAlignment="1">
      <alignment horizontal="center" vertical="center"/>
    </xf>
    <xf numFmtId="0" fontId="21" fillId="16" borderId="8" xfId="6" applyFont="1" applyFill="1" applyBorder="1" applyAlignment="1">
      <alignment horizontal="center" vertical="center"/>
    </xf>
    <xf numFmtId="0" fontId="80" fillId="16" borderId="57" xfId="6" applyFont="1" applyFill="1" applyBorder="1" applyAlignment="1">
      <alignment horizontal="center" vertical="center"/>
    </xf>
    <xf numFmtId="0" fontId="80" fillId="16" borderId="58" xfId="6" applyFont="1" applyFill="1" applyBorder="1" applyAlignment="1">
      <alignment horizontal="center" vertical="center"/>
    </xf>
    <xf numFmtId="0" fontId="80" fillId="16" borderId="61" xfId="6" applyFont="1" applyFill="1" applyBorder="1" applyAlignment="1">
      <alignment horizontal="center" vertical="center"/>
    </xf>
    <xf numFmtId="0" fontId="91" fillId="0" borderId="9" xfId="6" applyFont="1" applyBorder="1" applyAlignment="1">
      <alignment horizontal="left" vertical="center" indent="1"/>
    </xf>
    <xf numFmtId="0" fontId="22" fillId="16" borderId="52" xfId="6" applyFont="1" applyFill="1" applyBorder="1" applyAlignment="1">
      <alignment horizontal="right" vertical="center"/>
    </xf>
    <xf numFmtId="0" fontId="22" fillId="16" borderId="56" xfId="6" applyFont="1" applyFill="1" applyBorder="1" applyAlignment="1">
      <alignment horizontal="right" vertical="center"/>
    </xf>
    <xf numFmtId="0" fontId="22" fillId="16" borderId="72" xfId="6" applyFont="1" applyFill="1" applyBorder="1" applyAlignment="1">
      <alignment horizontal="right" vertical="center"/>
    </xf>
    <xf numFmtId="0" fontId="22" fillId="16" borderId="46" xfId="6" applyFont="1" applyFill="1" applyBorder="1" applyAlignment="1">
      <alignment horizontal="right" vertical="center"/>
    </xf>
    <xf numFmtId="0" fontId="22" fillId="16" borderId="62" xfId="6" applyFont="1" applyFill="1" applyBorder="1" applyAlignment="1">
      <alignment horizontal="right" vertical="center"/>
    </xf>
    <xf numFmtId="0" fontId="22" fillId="16" borderId="60" xfId="6" applyFont="1" applyFill="1" applyBorder="1" applyAlignment="1">
      <alignment horizontal="right" vertical="center"/>
    </xf>
    <xf numFmtId="0" fontId="24" fillId="16" borderId="15" xfId="6" applyFont="1" applyFill="1" applyBorder="1" applyAlignment="1">
      <alignment horizontal="center" vertical="center" wrapText="1"/>
    </xf>
    <xf numFmtId="0" fontId="24" fillId="16" borderId="16" xfId="6" applyFont="1" applyFill="1" applyBorder="1" applyAlignment="1">
      <alignment horizontal="center" vertical="center" wrapText="1"/>
    </xf>
    <xf numFmtId="0" fontId="24" fillId="16" borderId="17" xfId="6" applyFont="1" applyFill="1" applyBorder="1" applyAlignment="1">
      <alignment horizontal="center" vertical="center" wrapText="1"/>
    </xf>
    <xf numFmtId="0" fontId="24" fillId="0" borderId="83" xfId="0" applyFont="1" applyBorder="1" applyAlignment="1">
      <alignment vertical="top" wrapText="1"/>
    </xf>
    <xf numFmtId="0" fontId="24" fillId="0" borderId="85" xfId="0" applyFont="1" applyBorder="1" applyAlignment="1">
      <alignment vertical="top" wrapText="1"/>
    </xf>
    <xf numFmtId="0" fontId="24" fillId="0" borderId="90" xfId="0" applyFont="1" applyBorder="1" applyAlignment="1">
      <alignment vertical="top" wrapText="1"/>
    </xf>
    <xf numFmtId="0" fontId="20" fillId="0" borderId="15" xfId="0" applyFont="1" applyBorder="1" applyAlignment="1">
      <alignment horizontal="center" vertical="top" wrapText="1"/>
    </xf>
    <xf numFmtId="0" fontId="23" fillId="0" borderId="16" xfId="0" applyFont="1" applyBorder="1" applyAlignment="1">
      <alignment wrapText="1"/>
    </xf>
    <xf numFmtId="0" fontId="23" fillId="0" borderId="17" xfId="0" applyFont="1" applyBorder="1" applyAlignment="1">
      <alignment wrapText="1"/>
    </xf>
    <xf numFmtId="165" fontId="20" fillId="0" borderId="15" xfId="0" applyNumberFormat="1" applyFont="1" applyBorder="1" applyAlignment="1">
      <alignment horizontal="center" vertical="top" wrapText="1" shrinkToFit="1"/>
    </xf>
    <xf numFmtId="1" fontId="20" fillId="0" borderId="56" xfId="6" applyNumberFormat="1" applyFont="1" applyBorder="1" applyAlignment="1">
      <alignment horizontal="center" vertical="center" wrapText="1"/>
    </xf>
    <xf numFmtId="0" fontId="20" fillId="0" borderId="46" xfId="6" applyFont="1" applyBorder="1" applyAlignment="1">
      <alignment horizontal="center" vertical="center" wrapText="1"/>
    </xf>
    <xf numFmtId="0" fontId="20" fillId="0" borderId="60" xfId="6" applyFont="1" applyBorder="1" applyAlignment="1">
      <alignment horizontal="center" vertical="center" wrapText="1"/>
    </xf>
    <xf numFmtId="1" fontId="20" fillId="2" borderId="9" xfId="6" applyNumberFormat="1" applyFont="1" applyFill="1" applyBorder="1" applyAlignment="1">
      <alignment horizontal="center" vertical="center" wrapText="1"/>
    </xf>
    <xf numFmtId="0" fontId="20" fillId="2" borderId="11" xfId="6" applyFont="1" applyFill="1" applyBorder="1" applyAlignment="1">
      <alignment horizontal="center" vertical="center" wrapText="1"/>
    </xf>
    <xf numFmtId="0" fontId="20" fillId="2" borderId="13" xfId="6" applyFont="1" applyFill="1" applyBorder="1" applyAlignment="1">
      <alignment horizontal="center" vertical="center" wrapText="1"/>
    </xf>
    <xf numFmtId="0" fontId="24" fillId="16" borderId="69" xfId="6" applyFont="1" applyFill="1" applyBorder="1" applyAlignment="1">
      <alignment horizontal="center" vertical="center" wrapText="1"/>
    </xf>
    <xf numFmtId="0" fontId="24" fillId="16" borderId="70" xfId="6" applyFont="1" applyFill="1" applyBorder="1" applyAlignment="1">
      <alignment horizontal="center" vertical="center" wrapText="1"/>
    </xf>
    <xf numFmtId="0" fontId="24" fillId="16" borderId="71" xfId="6" applyFont="1" applyFill="1" applyBorder="1" applyAlignment="1">
      <alignment horizontal="center" vertical="center" wrapText="1"/>
    </xf>
    <xf numFmtId="0" fontId="24" fillId="16" borderId="43" xfId="6" applyFont="1" applyFill="1" applyBorder="1" applyAlignment="1">
      <alignment horizontal="center" vertical="center" wrapText="1"/>
    </xf>
    <xf numFmtId="0" fontId="24" fillId="16" borderId="2" xfId="6" applyFont="1" applyFill="1" applyBorder="1" applyAlignment="1">
      <alignment horizontal="center" vertical="center" wrapText="1"/>
    </xf>
    <xf numFmtId="0" fontId="24" fillId="16" borderId="3" xfId="6" applyFont="1" applyFill="1" applyBorder="1" applyAlignment="1">
      <alignment horizontal="center" vertical="center" wrapText="1"/>
    </xf>
    <xf numFmtId="0" fontId="24" fillId="16" borderId="7" xfId="6" applyFont="1" applyFill="1" applyBorder="1" applyAlignment="1">
      <alignment horizontal="center" vertical="center" wrapText="1"/>
    </xf>
    <xf numFmtId="0" fontId="24" fillId="16" borderId="8" xfId="6" applyFont="1" applyFill="1" applyBorder="1" applyAlignment="1">
      <alignment horizontal="center" vertical="center" wrapText="1"/>
    </xf>
    <xf numFmtId="164" fontId="20" fillId="0" borderId="9" xfId="6" applyNumberFormat="1" applyFont="1" applyBorder="1" applyAlignment="1">
      <alignment horizontal="center" vertical="center" wrapText="1"/>
    </xf>
    <xf numFmtId="164" fontId="20" fillId="0" borderId="11" xfId="6" applyNumberFormat="1" applyFont="1" applyBorder="1" applyAlignment="1">
      <alignment horizontal="center" vertical="center" wrapText="1"/>
    </xf>
    <xf numFmtId="164" fontId="20" fillId="0" borderId="13" xfId="6" applyNumberFormat="1" applyFont="1" applyBorder="1" applyAlignment="1">
      <alignment horizontal="center" vertical="center" wrapText="1"/>
    </xf>
    <xf numFmtId="164" fontId="20" fillId="0" borderId="10" xfId="6" applyNumberFormat="1" applyFont="1" applyBorder="1" applyAlignment="1">
      <alignment horizontal="center" vertical="center" wrapText="1"/>
    </xf>
    <xf numFmtId="164" fontId="20" fillId="0" borderId="12" xfId="6" applyNumberFormat="1" applyFont="1" applyBorder="1" applyAlignment="1">
      <alignment horizontal="center" vertical="center" wrapText="1"/>
    </xf>
    <xf numFmtId="164" fontId="20" fillId="0" borderId="18" xfId="6" applyNumberFormat="1" applyFont="1" applyBorder="1" applyAlignment="1">
      <alignment horizontal="center" vertical="center" wrapText="1"/>
    </xf>
    <xf numFmtId="0" fontId="24" fillId="0" borderId="4" xfId="0" applyFont="1" applyBorder="1" applyAlignment="1">
      <alignment horizontal="left" vertical="top" wrapText="1"/>
    </xf>
    <xf numFmtId="0" fontId="24" fillId="0" borderId="37" xfId="0" applyFont="1" applyBorder="1" applyAlignment="1">
      <alignment horizontal="left" vertical="top" wrapText="1"/>
    </xf>
    <xf numFmtId="0" fontId="24" fillId="0" borderId="83" xfId="0" applyFont="1" applyBorder="1" applyAlignment="1">
      <alignment horizontal="left" vertical="top" wrapText="1"/>
    </xf>
    <xf numFmtId="0" fontId="24" fillId="0" borderId="85" xfId="0" applyFont="1" applyBorder="1" applyAlignment="1">
      <alignment horizontal="left" vertical="top" wrapText="1"/>
    </xf>
    <xf numFmtId="0" fontId="24" fillId="0" borderId="90" xfId="0" applyFont="1" applyBorder="1" applyAlignment="1">
      <alignment horizontal="left" vertical="top" wrapText="1"/>
    </xf>
    <xf numFmtId="0" fontId="24" fillId="0" borderId="38" xfId="0" applyFont="1" applyBorder="1" applyAlignment="1">
      <alignment horizontal="left" vertical="top" wrapText="1"/>
    </xf>
    <xf numFmtId="1" fontId="20" fillId="0" borderId="9" xfId="6" applyNumberFormat="1" applyFont="1" applyBorder="1" applyAlignment="1">
      <alignment horizontal="center" vertical="center" wrapText="1"/>
    </xf>
    <xf numFmtId="0" fontId="20" fillId="0" borderId="11" xfId="6" applyFont="1" applyBorder="1" applyAlignment="1">
      <alignment horizontal="center" vertical="center" wrapText="1"/>
    </xf>
    <xf numFmtId="0" fontId="20" fillId="0" borderId="13" xfId="6" applyFont="1" applyBorder="1" applyAlignment="1">
      <alignment horizontal="center" vertical="center" wrapText="1"/>
    </xf>
    <xf numFmtId="164" fontId="20" fillId="0" borderId="19" xfId="6" applyNumberFormat="1" applyFont="1" applyBorder="1" applyAlignment="1">
      <alignment horizontal="center" vertical="center" wrapText="1"/>
    </xf>
    <xf numFmtId="164" fontId="20" fillId="0" borderId="36" xfId="6" applyNumberFormat="1" applyFont="1" applyBorder="1" applyAlignment="1">
      <alignment horizontal="center" vertical="center" wrapText="1"/>
    </xf>
    <xf numFmtId="0" fontId="24" fillId="0" borderId="89" xfId="0" applyFont="1" applyBorder="1" applyAlignment="1">
      <alignment horizontal="left" vertical="top" wrapText="1"/>
    </xf>
    <xf numFmtId="0" fontId="20" fillId="0" borderId="16" xfId="0" applyFont="1" applyBorder="1" applyAlignment="1">
      <alignment horizontal="center" vertical="top" wrapText="1"/>
    </xf>
    <xf numFmtId="165" fontId="20" fillId="0" borderId="16" xfId="0" applyNumberFormat="1" applyFont="1" applyBorder="1" applyAlignment="1">
      <alignment horizontal="center" vertical="top" wrapText="1" shrinkToFit="1"/>
    </xf>
    <xf numFmtId="1" fontId="20" fillId="0" borderId="51" xfId="6" applyNumberFormat="1" applyFont="1" applyBorder="1" applyAlignment="1">
      <alignment horizontal="center" vertical="center" wrapText="1"/>
    </xf>
    <xf numFmtId="1" fontId="20" fillId="2" borderId="19" xfId="6" applyNumberFormat="1" applyFont="1" applyFill="1" applyBorder="1" applyAlignment="1">
      <alignment horizontal="center" vertical="center" wrapText="1"/>
    </xf>
    <xf numFmtId="0" fontId="24" fillId="0" borderId="89" xfId="0" applyFont="1" applyBorder="1" applyAlignment="1">
      <alignment vertical="top" wrapText="1"/>
    </xf>
    <xf numFmtId="0" fontId="24" fillId="0" borderId="11" xfId="6" applyFont="1" applyBorder="1" applyAlignment="1">
      <alignment horizontal="left" vertical="top" wrapText="1"/>
    </xf>
    <xf numFmtId="0" fontId="20" fillId="0" borderId="11" xfId="6" applyFont="1" applyBorder="1" applyAlignment="1">
      <alignment vertical="top" wrapText="1"/>
    </xf>
    <xf numFmtId="0" fontId="20" fillId="0" borderId="11" xfId="6" applyFont="1" applyBorder="1" applyAlignment="1">
      <alignment horizontal="center" vertical="top" wrapText="1"/>
    </xf>
    <xf numFmtId="9" fontId="20" fillId="0" borderId="11" xfId="6" applyNumberFormat="1" applyFont="1" applyBorder="1" applyAlignment="1">
      <alignment horizontal="center" vertical="top" wrapText="1"/>
    </xf>
    <xf numFmtId="0" fontId="20" fillId="0" borderId="19" xfId="6" applyFont="1" applyBorder="1" applyAlignment="1">
      <alignment horizontal="center" vertical="center" wrapText="1"/>
    </xf>
    <xf numFmtId="0" fontId="84" fillId="0" borderId="47" xfId="6" applyFont="1" applyBorder="1" applyAlignment="1">
      <alignment horizontal="center" vertical="center" wrapText="1"/>
    </xf>
    <xf numFmtId="0" fontId="84" fillId="0" borderId="0" xfId="6" applyFont="1" applyAlignment="1">
      <alignment horizontal="center" vertical="center" wrapText="1"/>
    </xf>
    <xf numFmtId="0" fontId="22" fillId="0" borderId="11" xfId="6" applyFont="1" applyBorder="1" applyAlignment="1">
      <alignment horizontal="center" vertical="center" wrapText="1"/>
    </xf>
    <xf numFmtId="0" fontId="22" fillId="0" borderId="19" xfId="6" applyFont="1" applyBorder="1" applyAlignment="1">
      <alignment horizontal="center" vertical="center" wrapText="1"/>
    </xf>
    <xf numFmtId="0" fontId="24" fillId="0" borderId="6" xfId="0" applyFont="1" applyBorder="1" applyAlignment="1">
      <alignment horizontal="left" vertical="top" wrapText="1"/>
    </xf>
    <xf numFmtId="0" fontId="91" fillId="0" borderId="55" xfId="6" applyFont="1" applyBorder="1" applyAlignment="1">
      <alignment horizontal="left" vertical="center"/>
    </xf>
    <xf numFmtId="0" fontId="91" fillId="0" borderId="53" xfId="6" applyFont="1" applyBorder="1" applyAlignment="1">
      <alignment horizontal="left" vertical="center"/>
    </xf>
    <xf numFmtId="0" fontId="91" fillId="0" borderId="54" xfId="6" applyFont="1" applyBorder="1" applyAlignment="1">
      <alignment horizontal="left" vertical="center"/>
    </xf>
    <xf numFmtId="0" fontId="91" fillId="0" borderId="44" xfId="6" applyFont="1" applyBorder="1" applyAlignment="1">
      <alignment horizontal="left" vertical="center"/>
    </xf>
    <xf numFmtId="0" fontId="91" fillId="0" borderId="45" xfId="6" applyFont="1" applyBorder="1" applyAlignment="1">
      <alignment horizontal="left" vertical="center"/>
    </xf>
    <xf numFmtId="0" fontId="91" fillId="0" borderId="81" xfId="6" applyFont="1" applyBorder="1" applyAlignment="1">
      <alignment horizontal="left" vertical="center"/>
    </xf>
    <xf numFmtId="169" fontId="91" fillId="0" borderId="44" xfId="6" applyNumberFormat="1" applyFont="1" applyBorder="1" applyAlignment="1">
      <alignment horizontal="left" vertical="center"/>
    </xf>
    <xf numFmtId="169" fontId="91" fillId="0" borderId="45" xfId="6" applyNumberFormat="1" applyFont="1" applyBorder="1" applyAlignment="1">
      <alignment horizontal="left" vertical="center"/>
    </xf>
    <xf numFmtId="169" fontId="91" fillId="0" borderId="81" xfId="6" applyNumberFormat="1" applyFont="1" applyBorder="1" applyAlignment="1">
      <alignment horizontal="left" vertical="center"/>
    </xf>
    <xf numFmtId="0" fontId="81" fillId="0" borderId="57" xfId="6" applyFont="1" applyBorder="1" applyAlignment="1">
      <alignment horizontal="left" vertical="center" wrapText="1"/>
    </xf>
    <xf numFmtId="0" fontId="81" fillId="0" borderId="58" xfId="6" applyFont="1" applyBorder="1" applyAlignment="1">
      <alignment horizontal="left" vertical="center" wrapText="1"/>
    </xf>
    <xf numFmtId="0" fontId="81" fillId="0" borderId="61" xfId="6" applyFont="1" applyBorder="1" applyAlignment="1">
      <alignment horizontal="left" vertical="center" wrapText="1"/>
    </xf>
    <xf numFmtId="0" fontId="81" fillId="0" borderId="50" xfId="6" applyFont="1" applyBorder="1" applyAlignment="1">
      <alignment horizontal="center"/>
    </xf>
    <xf numFmtId="0" fontId="81" fillId="0" borderId="50" xfId="6" applyFont="1" applyBorder="1" applyAlignment="1">
      <alignment horizontal="center" vertical="center" wrapText="1"/>
    </xf>
    <xf numFmtId="0" fontId="24" fillId="0" borderId="0" xfId="6" applyFont="1" applyAlignment="1">
      <alignment horizontal="right" vertical="center" wrapText="1" indent="1"/>
    </xf>
    <xf numFmtId="0" fontId="24" fillId="0" borderId="5" xfId="6" applyFont="1" applyBorder="1" applyAlignment="1">
      <alignment horizontal="right" vertical="center" wrapText="1" indent="1"/>
    </xf>
    <xf numFmtId="164" fontId="24" fillId="0" borderId="6" xfId="6" applyNumberFormat="1" applyFont="1" applyBorder="1" applyAlignment="1">
      <alignment horizontal="center" vertical="center" wrapText="1"/>
    </xf>
    <xf numFmtId="0" fontId="24" fillId="0" borderId="7" xfId="6" applyFont="1" applyBorder="1" applyAlignment="1">
      <alignment horizontal="center" vertical="center" wrapText="1"/>
    </xf>
    <xf numFmtId="0" fontId="24" fillId="0" borderId="8" xfId="6" applyFont="1" applyBorder="1" applyAlignment="1">
      <alignment horizontal="center" vertical="center" wrapText="1"/>
    </xf>
    <xf numFmtId="0" fontId="24" fillId="0" borderId="13" xfId="6" applyFont="1" applyBorder="1" applyAlignment="1">
      <alignment horizontal="left" vertical="top" wrapText="1"/>
    </xf>
    <xf numFmtId="0" fontId="20" fillId="0" borderId="13" xfId="6" applyFont="1" applyBorder="1" applyAlignment="1">
      <alignment vertical="top" wrapText="1"/>
    </xf>
    <xf numFmtId="0" fontId="20" fillId="0" borderId="13" xfId="6" applyFont="1" applyBorder="1" applyAlignment="1">
      <alignment horizontal="center" vertical="top" wrapText="1"/>
    </xf>
    <xf numFmtId="9" fontId="20" fillId="0" borderId="13" xfId="6" applyNumberFormat="1" applyFont="1" applyBorder="1" applyAlignment="1">
      <alignment horizontal="center" vertical="top" wrapText="1"/>
    </xf>
    <xf numFmtId="164" fontId="20" fillId="0" borderId="28" xfId="6" applyNumberFormat="1" applyFont="1" applyBorder="1" applyAlignment="1">
      <alignment horizontal="center" vertical="center" wrapText="1"/>
    </xf>
    <xf numFmtId="0" fontId="24" fillId="0" borderId="104" xfId="0" applyFont="1" applyBorder="1" applyAlignment="1">
      <alignment vertical="top" wrapText="1"/>
    </xf>
    <xf numFmtId="0" fontId="20" fillId="0" borderId="48" xfId="6" applyFont="1" applyBorder="1" applyAlignment="1">
      <alignment horizontal="center" vertical="center" wrapText="1"/>
    </xf>
    <xf numFmtId="0" fontId="20" fillId="2" borderId="23" xfId="6" applyFont="1" applyFill="1" applyBorder="1" applyAlignment="1">
      <alignment horizontal="center" vertical="center" wrapText="1"/>
    </xf>
    <xf numFmtId="0" fontId="20" fillId="0" borderId="23" xfId="6" applyFont="1" applyBorder="1" applyAlignment="1">
      <alignment horizontal="center" vertical="center" wrapText="1"/>
    </xf>
    <xf numFmtId="164" fontId="20" fillId="0" borderId="23" xfId="6" applyNumberFormat="1" applyFont="1" applyBorder="1" applyAlignment="1">
      <alignment horizontal="center" vertical="center" wrapText="1"/>
    </xf>
    <xf numFmtId="0" fontId="22" fillId="16" borderId="37" xfId="6" applyFont="1" applyFill="1" applyBorder="1" applyAlignment="1">
      <alignment horizontal="right" vertical="center"/>
    </xf>
    <xf numFmtId="0" fontId="22" fillId="16" borderId="51" xfId="6" applyFont="1" applyFill="1" applyBorder="1" applyAlignment="1">
      <alignment horizontal="right" vertical="center"/>
    </xf>
    <xf numFmtId="0" fontId="91" fillId="0" borderId="19" xfId="6" applyFont="1" applyBorder="1" applyAlignment="1">
      <alignment horizontal="left" vertical="center" indent="1"/>
    </xf>
    <xf numFmtId="0" fontId="91" fillId="0" borderId="31" xfId="6" applyFont="1" applyBorder="1" applyAlignment="1">
      <alignment horizontal="left" vertical="center"/>
    </xf>
    <xf numFmtId="0" fontId="91" fillId="0" borderId="50" xfId="6" applyFont="1" applyBorder="1" applyAlignment="1">
      <alignment horizontal="left" vertical="center"/>
    </xf>
    <xf numFmtId="0" fontId="91" fillId="0" borderId="67" xfId="6" applyFont="1" applyBorder="1" applyAlignment="1">
      <alignment horizontal="left" vertical="center"/>
    </xf>
    <xf numFmtId="164" fontId="24" fillId="0" borderId="7" xfId="6" applyNumberFormat="1" applyFont="1" applyBorder="1" applyAlignment="1">
      <alignment horizontal="center" vertical="center" wrapText="1"/>
    </xf>
    <xf numFmtId="1" fontId="20" fillId="2" borderId="51" xfId="6" applyNumberFormat="1" applyFont="1" applyFill="1" applyBorder="1" applyAlignment="1">
      <alignment horizontal="center" vertical="center" wrapText="1"/>
    </xf>
    <xf numFmtId="0" fontId="20" fillId="2" borderId="46" xfId="6" applyFont="1" applyFill="1" applyBorder="1" applyAlignment="1">
      <alignment horizontal="center" vertical="center" wrapText="1"/>
    </xf>
    <xf numFmtId="0" fontId="20" fillId="2" borderId="60" xfId="6" applyFont="1" applyFill="1" applyBorder="1" applyAlignment="1">
      <alignment horizontal="center" vertical="center" wrapText="1"/>
    </xf>
    <xf numFmtId="1" fontId="20" fillId="2" borderId="56" xfId="6" applyNumberFormat="1" applyFont="1" applyFill="1" applyBorder="1" applyAlignment="1">
      <alignment horizontal="center" vertical="center" wrapText="1"/>
    </xf>
    <xf numFmtId="0" fontId="20" fillId="0" borderId="51" xfId="6" applyFont="1" applyBorder="1" applyAlignment="1">
      <alignment horizontal="center" vertical="center" wrapText="1"/>
    </xf>
    <xf numFmtId="0" fontId="20" fillId="2" borderId="19" xfId="6" applyFont="1" applyFill="1" applyBorder="1" applyAlignment="1">
      <alignment horizontal="center" vertical="center" wrapText="1"/>
    </xf>
    <xf numFmtId="1" fontId="20" fillId="0" borderId="82" xfId="6" applyNumberFormat="1" applyFont="1" applyBorder="1" applyAlignment="1">
      <alignment horizontal="center" vertical="center" wrapText="1"/>
    </xf>
    <xf numFmtId="0" fontId="20" fillId="0" borderId="66" xfId="6" applyFont="1" applyBorder="1" applyAlignment="1">
      <alignment horizontal="center" vertical="center" wrapText="1"/>
    </xf>
    <xf numFmtId="0" fontId="20" fillId="0" borderId="20" xfId="6" applyFont="1" applyBorder="1" applyAlignment="1">
      <alignment horizontal="center" vertical="center" wrapText="1"/>
    </xf>
    <xf numFmtId="0" fontId="20" fillId="2" borderId="9" xfId="6" applyFont="1" applyFill="1" applyBorder="1" applyAlignment="1">
      <alignment horizontal="center" vertical="center" wrapText="1"/>
    </xf>
    <xf numFmtId="0" fontId="24" fillId="17" borderId="15" xfId="6" applyFont="1" applyFill="1" applyBorder="1" applyAlignment="1">
      <alignment horizontal="center" vertical="center" wrapText="1"/>
    </xf>
    <xf numFmtId="0" fontId="24" fillId="17" borderId="17" xfId="6" applyFont="1" applyFill="1" applyBorder="1" applyAlignment="1">
      <alignment horizontal="center" vertical="center" wrapText="1"/>
    </xf>
    <xf numFmtId="0" fontId="24" fillId="17" borderId="70" xfId="6" applyFont="1" applyFill="1" applyBorder="1" applyAlignment="1">
      <alignment horizontal="center" vertical="center" wrapText="1"/>
    </xf>
    <xf numFmtId="0" fontId="24" fillId="17" borderId="71" xfId="6" applyFont="1" applyFill="1" applyBorder="1" applyAlignment="1">
      <alignment horizontal="center" vertical="center" wrapText="1"/>
    </xf>
    <xf numFmtId="0" fontId="24" fillId="17" borderId="69" xfId="6" applyFont="1" applyFill="1" applyBorder="1" applyAlignment="1">
      <alignment horizontal="center" vertical="center" wrapText="1"/>
    </xf>
    <xf numFmtId="0" fontId="24" fillId="17" borderId="16" xfId="6" applyFont="1" applyFill="1" applyBorder="1" applyAlignment="1">
      <alignment horizontal="center" vertical="center" wrapText="1"/>
    </xf>
    <xf numFmtId="0" fontId="24" fillId="17" borderId="43" xfId="6" applyFont="1" applyFill="1" applyBorder="1" applyAlignment="1">
      <alignment horizontal="center" vertical="center" wrapText="1"/>
    </xf>
    <xf numFmtId="0" fontId="24" fillId="17" borderId="2" xfId="6" applyFont="1" applyFill="1" applyBorder="1" applyAlignment="1">
      <alignment horizontal="center" vertical="center" wrapText="1"/>
    </xf>
    <xf numFmtId="0" fontId="24" fillId="17" borderId="3" xfId="6" applyFont="1" applyFill="1" applyBorder="1" applyAlignment="1">
      <alignment horizontal="center" vertical="center" wrapText="1"/>
    </xf>
    <xf numFmtId="0" fontId="24" fillId="17" borderId="7" xfId="6" applyFont="1" applyFill="1" applyBorder="1" applyAlignment="1">
      <alignment horizontal="center" vertical="center" wrapText="1"/>
    </xf>
    <xf numFmtId="0" fontId="24" fillId="17" borderId="8" xfId="6" applyFont="1" applyFill="1" applyBorder="1" applyAlignment="1">
      <alignment horizontal="center" vertical="center" wrapText="1"/>
    </xf>
    <xf numFmtId="0" fontId="22" fillId="17" borderId="72" xfId="6" applyFont="1" applyFill="1" applyBorder="1" applyAlignment="1">
      <alignment horizontal="right" vertical="center"/>
    </xf>
    <xf numFmtId="0" fontId="22" fillId="17" borderId="46" xfId="6" applyFont="1" applyFill="1" applyBorder="1" applyAlignment="1">
      <alignment horizontal="right" vertical="center"/>
    </xf>
    <xf numFmtId="0" fontId="22" fillId="17" borderId="62" xfId="6" applyFont="1" applyFill="1" applyBorder="1" applyAlignment="1">
      <alignment horizontal="right" vertical="center"/>
    </xf>
    <xf numFmtId="0" fontId="22" fillId="17" borderId="60" xfId="6" applyFont="1" applyFill="1" applyBorder="1" applyAlignment="1">
      <alignment horizontal="right" vertical="center"/>
    </xf>
    <xf numFmtId="0" fontId="21" fillId="17" borderId="7" xfId="6" applyFont="1" applyFill="1" applyBorder="1" applyAlignment="1">
      <alignment horizontal="center" vertical="center"/>
    </xf>
    <xf numFmtId="0" fontId="21" fillId="17" borderId="8" xfId="6" applyFont="1" applyFill="1" applyBorder="1" applyAlignment="1">
      <alignment horizontal="center" vertical="center"/>
    </xf>
    <xf numFmtId="0" fontId="80" fillId="17" borderId="57" xfId="6" applyFont="1" applyFill="1" applyBorder="1" applyAlignment="1">
      <alignment horizontal="center" vertical="center"/>
    </xf>
    <xf numFmtId="0" fontId="80" fillId="17" borderId="58" xfId="6" applyFont="1" applyFill="1" applyBorder="1" applyAlignment="1">
      <alignment horizontal="center" vertical="center"/>
    </xf>
    <xf numFmtId="0" fontId="80" fillId="17" borderId="61" xfId="6" applyFont="1" applyFill="1" applyBorder="1" applyAlignment="1">
      <alignment horizontal="center" vertical="center"/>
    </xf>
    <xf numFmtId="0" fontId="22" fillId="17" borderId="37" xfId="6" applyFont="1" applyFill="1" applyBorder="1" applyAlignment="1">
      <alignment horizontal="right" vertical="center"/>
    </xf>
    <xf numFmtId="0" fontId="22" fillId="17" borderId="51" xfId="6" applyFont="1" applyFill="1" applyBorder="1" applyAlignment="1">
      <alignment horizontal="right" vertical="center"/>
    </xf>
    <xf numFmtId="0" fontId="20" fillId="2" borderId="56" xfId="6" applyFont="1" applyFill="1" applyBorder="1" applyAlignment="1">
      <alignment horizontal="center" vertical="center" wrapText="1"/>
    </xf>
    <xf numFmtId="0" fontId="20" fillId="0" borderId="56" xfId="6" applyFont="1" applyBorder="1" applyAlignment="1">
      <alignment horizontal="center" vertical="center" wrapText="1"/>
    </xf>
    <xf numFmtId="0" fontId="20" fillId="0" borderId="9" xfId="6" applyFont="1" applyBorder="1" applyAlignment="1">
      <alignment horizontal="center" vertical="center" wrapText="1"/>
    </xf>
    <xf numFmtId="0" fontId="24" fillId="15" borderId="15" xfId="6" applyFont="1" applyFill="1" applyBorder="1" applyAlignment="1">
      <alignment horizontal="center" vertical="center" wrapText="1"/>
    </xf>
    <xf numFmtId="0" fontId="24" fillId="15" borderId="17" xfId="6" applyFont="1" applyFill="1" applyBorder="1" applyAlignment="1">
      <alignment horizontal="center" vertical="center" wrapText="1"/>
    </xf>
    <xf numFmtId="0" fontId="24" fillId="15" borderId="70" xfId="6" applyFont="1" applyFill="1" applyBorder="1" applyAlignment="1">
      <alignment horizontal="center" vertical="center" wrapText="1"/>
    </xf>
    <xf numFmtId="0" fontId="24" fillId="15" borderId="71" xfId="6" applyFont="1" applyFill="1" applyBorder="1" applyAlignment="1">
      <alignment horizontal="center" vertical="center" wrapText="1"/>
    </xf>
    <xf numFmtId="0" fontId="24" fillId="15" borderId="69" xfId="6" applyFont="1" applyFill="1" applyBorder="1" applyAlignment="1">
      <alignment horizontal="center" vertical="center" wrapText="1"/>
    </xf>
    <xf numFmtId="0" fontId="24" fillId="15" borderId="16" xfId="6" applyFont="1" applyFill="1" applyBorder="1" applyAlignment="1">
      <alignment horizontal="center" vertical="center" wrapText="1"/>
    </xf>
    <xf numFmtId="0" fontId="24" fillId="15" borderId="43" xfId="6" applyFont="1" applyFill="1" applyBorder="1" applyAlignment="1">
      <alignment horizontal="center" vertical="center" wrapText="1"/>
    </xf>
    <xf numFmtId="0" fontId="24" fillId="15" borderId="2" xfId="6" applyFont="1" applyFill="1" applyBorder="1" applyAlignment="1">
      <alignment horizontal="center" vertical="center" wrapText="1"/>
    </xf>
    <xf numFmtId="0" fontId="24" fillId="15" borderId="3" xfId="6" applyFont="1" applyFill="1" applyBorder="1" applyAlignment="1">
      <alignment horizontal="center" vertical="center" wrapText="1"/>
    </xf>
    <xf numFmtId="0" fontId="24" fillId="15" borderId="7" xfId="6" applyFont="1" applyFill="1" applyBorder="1" applyAlignment="1">
      <alignment horizontal="center" vertical="center" wrapText="1"/>
    </xf>
    <xf numFmtId="0" fontId="24" fillId="15" borderId="8" xfId="6" applyFont="1" applyFill="1" applyBorder="1" applyAlignment="1">
      <alignment horizontal="center" vertical="center" wrapText="1"/>
    </xf>
    <xf numFmtId="0" fontId="22" fillId="15" borderId="72" xfId="6" applyFont="1" applyFill="1" applyBorder="1" applyAlignment="1">
      <alignment horizontal="right" vertical="center"/>
    </xf>
    <xf numFmtId="0" fontId="22" fillId="15" borderId="46" xfId="6" applyFont="1" applyFill="1" applyBorder="1" applyAlignment="1">
      <alignment horizontal="right" vertical="center"/>
    </xf>
    <xf numFmtId="0" fontId="22" fillId="15" borderId="62" xfId="6" applyFont="1" applyFill="1" applyBorder="1" applyAlignment="1">
      <alignment horizontal="right" vertical="center"/>
    </xf>
    <xf numFmtId="0" fontId="22" fillId="15" borderId="60" xfId="6" applyFont="1" applyFill="1" applyBorder="1" applyAlignment="1">
      <alignment horizontal="right" vertical="center"/>
    </xf>
    <xf numFmtId="0" fontId="21" fillId="15" borderId="7" xfId="6" applyFont="1" applyFill="1" applyBorder="1" applyAlignment="1">
      <alignment horizontal="center" vertical="center"/>
    </xf>
    <xf numFmtId="0" fontId="21" fillId="15" borderId="8" xfId="6" applyFont="1" applyFill="1" applyBorder="1" applyAlignment="1">
      <alignment horizontal="center" vertical="center"/>
    </xf>
    <xf numFmtId="0" fontId="80" fillId="15" borderId="57" xfId="6" applyFont="1" applyFill="1" applyBorder="1" applyAlignment="1">
      <alignment horizontal="center" vertical="center"/>
    </xf>
    <xf numFmtId="0" fontId="80" fillId="15" borderId="58" xfId="6" applyFont="1" applyFill="1" applyBorder="1" applyAlignment="1">
      <alignment horizontal="center" vertical="center"/>
    </xf>
    <xf numFmtId="0" fontId="80" fillId="15" borderId="61" xfId="6" applyFont="1" applyFill="1" applyBorder="1" applyAlignment="1">
      <alignment horizontal="center" vertical="center"/>
    </xf>
    <xf numFmtId="0" fontId="22" fillId="15" borderId="37" xfId="6" applyFont="1" applyFill="1" applyBorder="1" applyAlignment="1">
      <alignment horizontal="right" vertical="center"/>
    </xf>
    <xf numFmtId="0" fontId="22" fillId="15" borderId="51" xfId="6" applyFont="1" applyFill="1" applyBorder="1" applyAlignment="1">
      <alignment horizontal="right" vertical="center"/>
    </xf>
    <xf numFmtId="0" fontId="39" fillId="6" borderId="9" xfId="2" applyFont="1" applyFill="1" applyBorder="1" applyAlignment="1">
      <alignment horizontal="left" vertical="center" wrapText="1"/>
    </xf>
    <xf numFmtId="164" fontId="35" fillId="6" borderId="29" xfId="2" applyNumberFormat="1" applyFont="1" applyFill="1" applyBorder="1" applyAlignment="1">
      <alignment horizontal="center" vertical="center"/>
    </xf>
    <xf numFmtId="164" fontId="35" fillId="6" borderId="24" xfId="2" applyNumberFormat="1" applyFont="1" applyFill="1" applyBorder="1" applyAlignment="1">
      <alignment horizontal="center" vertical="center"/>
    </xf>
    <xf numFmtId="164" fontId="35" fillId="6" borderId="21" xfId="2" applyNumberFormat="1" applyFont="1" applyFill="1" applyBorder="1" applyAlignment="1">
      <alignment horizontal="center" vertical="center"/>
    </xf>
    <xf numFmtId="0" fontId="35" fillId="6" borderId="39" xfId="2" applyFont="1" applyFill="1" applyBorder="1" applyAlignment="1">
      <alignment horizontal="center" vertical="center"/>
    </xf>
    <xf numFmtId="0" fontId="35" fillId="6" borderId="40" xfId="2" applyFont="1" applyFill="1" applyBorder="1" applyAlignment="1">
      <alignment horizontal="center" vertical="center"/>
    </xf>
    <xf numFmtId="0" fontId="35" fillId="6" borderId="22" xfId="2" applyFont="1" applyFill="1" applyBorder="1" applyAlignment="1">
      <alignment horizontal="center" vertical="center"/>
    </xf>
    <xf numFmtId="0" fontId="39" fillId="6" borderId="11" xfId="2" applyFont="1" applyFill="1" applyBorder="1" applyAlignment="1">
      <alignment horizontal="left" vertical="center" wrapText="1"/>
    </xf>
    <xf numFmtId="0" fontId="39" fillId="6" borderId="13" xfId="2" applyFont="1" applyFill="1" applyBorder="1" applyAlignment="1">
      <alignment horizontal="left" vertical="center" wrapText="1"/>
    </xf>
    <xf numFmtId="0" fontId="34" fillId="6" borderId="0" xfId="2" applyFont="1" applyFill="1" applyAlignment="1">
      <alignment horizontal="center" wrapText="1"/>
    </xf>
    <xf numFmtId="0" fontId="34" fillId="6" borderId="0" xfId="2" applyFont="1" applyFill="1" applyAlignment="1">
      <alignment horizontal="center"/>
    </xf>
    <xf numFmtId="0" fontId="36" fillId="6" borderId="0" xfId="2" applyFont="1" applyFill="1" applyAlignment="1">
      <alignment horizontal="center"/>
    </xf>
    <xf numFmtId="0" fontId="37" fillId="6" borderId="0" xfId="2" applyFont="1" applyFill="1" applyAlignment="1">
      <alignment horizontal="left" wrapText="1"/>
    </xf>
    <xf numFmtId="0" fontId="37" fillId="6" borderId="0" xfId="2" applyFont="1" applyFill="1" applyAlignment="1">
      <alignment vertical="center" wrapText="1"/>
    </xf>
    <xf numFmtId="0" fontId="19" fillId="6" borderId="0" xfId="2" applyFont="1" applyFill="1" applyAlignment="1">
      <alignment horizontal="left" wrapText="1"/>
    </xf>
    <xf numFmtId="10" fontId="36" fillId="6" borderId="0" xfId="2" applyNumberFormat="1" applyFont="1" applyFill="1" applyAlignment="1">
      <alignment horizontal="left"/>
    </xf>
    <xf numFmtId="0" fontId="26" fillId="6" borderId="57" xfId="2" applyFont="1" applyFill="1" applyBorder="1" applyAlignment="1">
      <alignment horizontal="center" vertical="center"/>
    </xf>
    <xf numFmtId="0" fontId="26" fillId="6" borderId="58" xfId="2" applyFont="1" applyFill="1" applyBorder="1" applyAlignment="1">
      <alignment horizontal="center" vertical="center"/>
    </xf>
    <xf numFmtId="0" fontId="26" fillId="6" borderId="61" xfId="2" applyFont="1" applyFill="1" applyBorder="1" applyAlignment="1">
      <alignment horizontal="center" vertical="center"/>
    </xf>
    <xf numFmtId="164" fontId="26" fillId="3" borderId="57" xfId="3" applyNumberFormat="1" applyFont="1" applyFill="1" applyBorder="1" applyAlignment="1">
      <alignment horizontal="center" vertical="center"/>
    </xf>
    <xf numFmtId="164" fontId="26" fillId="3" borderId="58" xfId="3" applyNumberFormat="1" applyFont="1" applyFill="1" applyBorder="1" applyAlignment="1">
      <alignment horizontal="center" vertical="center"/>
    </xf>
    <xf numFmtId="164" fontId="26" fillId="3" borderId="61" xfId="3" applyNumberFormat="1" applyFont="1" applyFill="1" applyBorder="1" applyAlignment="1">
      <alignment horizontal="center" vertical="center"/>
    </xf>
    <xf numFmtId="0" fontId="26" fillId="3" borderId="57" xfId="3" applyFont="1" applyFill="1" applyBorder="1" applyAlignment="1">
      <alignment horizontal="center" vertical="center"/>
    </xf>
    <xf numFmtId="0" fontId="26" fillId="3" borderId="58" xfId="3" applyFont="1" applyFill="1" applyBorder="1" applyAlignment="1">
      <alignment horizontal="center" vertical="center"/>
    </xf>
    <xf numFmtId="0" fontId="26" fillId="3" borderId="61" xfId="3" applyFont="1" applyFill="1" applyBorder="1" applyAlignment="1">
      <alignment horizontal="center" vertical="center"/>
    </xf>
    <xf numFmtId="0" fontId="81" fillId="3" borderId="50" xfId="2" applyFont="1" applyFill="1" applyBorder="1" applyAlignment="1">
      <alignment horizontal="center"/>
    </xf>
    <xf numFmtId="0" fontId="103" fillId="3" borderId="47" xfId="2" applyFont="1" applyFill="1" applyBorder="1" applyAlignment="1">
      <alignment horizontal="center"/>
    </xf>
    <xf numFmtId="164" fontId="19" fillId="6" borderId="29" xfId="2" applyNumberFormat="1" applyFont="1" applyFill="1" applyBorder="1" applyAlignment="1">
      <alignment horizontal="center" vertical="center"/>
    </xf>
    <xf numFmtId="164" fontId="19" fillId="6" borderId="24" xfId="2" applyNumberFormat="1" applyFont="1" applyFill="1" applyBorder="1" applyAlignment="1">
      <alignment horizontal="center" vertical="center"/>
    </xf>
    <xf numFmtId="164" fontId="19" fillId="6" borderId="21" xfId="2" applyNumberFormat="1" applyFont="1" applyFill="1" applyBorder="1" applyAlignment="1">
      <alignment horizontal="center" vertical="center"/>
    </xf>
    <xf numFmtId="0" fontId="22" fillId="6" borderId="39" xfId="2" applyFont="1" applyFill="1" applyBorder="1" applyAlignment="1">
      <alignment horizontal="center" vertical="center"/>
    </xf>
    <xf numFmtId="0" fontId="22" fillId="6" borderId="40" xfId="2" applyFont="1" applyFill="1" applyBorder="1" applyAlignment="1">
      <alignment horizontal="center" vertical="center"/>
    </xf>
    <xf numFmtId="0" fontId="22" fillId="6" borderId="22" xfId="2" applyFont="1" applyFill="1" applyBorder="1" applyAlignment="1">
      <alignment horizontal="center" vertical="center"/>
    </xf>
    <xf numFmtId="0" fontId="44" fillId="6" borderId="57" xfId="2" applyFont="1" applyFill="1" applyBorder="1" applyAlignment="1">
      <alignment horizontal="center" vertical="center"/>
    </xf>
    <xf numFmtId="0" fontId="44" fillId="6" borderId="61" xfId="2" applyFont="1" applyFill="1" applyBorder="1" applyAlignment="1">
      <alignment horizontal="center" vertical="center"/>
    </xf>
    <xf numFmtId="0" fontId="22" fillId="3" borderId="34" xfId="2" applyFont="1" applyFill="1" applyBorder="1" applyAlignment="1">
      <alignment horizontal="center" vertical="top" wrapText="1"/>
    </xf>
    <xf numFmtId="0" fontId="30" fillId="3" borderId="35" xfId="2" applyFont="1" applyFill="1" applyBorder="1" applyAlignment="1">
      <alignment wrapText="1"/>
    </xf>
    <xf numFmtId="0" fontId="30" fillId="3" borderId="41" xfId="2" applyFont="1" applyFill="1" applyBorder="1" applyAlignment="1">
      <alignment wrapText="1"/>
    </xf>
    <xf numFmtId="0" fontId="22" fillId="3" borderId="25" xfId="2" applyFont="1" applyFill="1" applyBorder="1" applyAlignment="1">
      <alignment horizontal="left" vertical="top" wrapText="1"/>
    </xf>
    <xf numFmtId="0" fontId="22" fillId="3" borderId="10" xfId="2" applyFont="1" applyFill="1" applyBorder="1" applyAlignment="1">
      <alignment horizontal="left" vertical="top" wrapText="1"/>
    </xf>
    <xf numFmtId="0" fontId="22" fillId="3" borderId="26" xfId="2" applyFont="1" applyFill="1" applyBorder="1" applyAlignment="1">
      <alignment horizontal="left" vertical="top" wrapText="1"/>
    </xf>
    <xf numFmtId="0" fontId="22" fillId="3" borderId="12" xfId="2" applyFont="1" applyFill="1" applyBorder="1" applyAlignment="1">
      <alignment horizontal="left" vertical="top" wrapText="1"/>
    </xf>
    <xf numFmtId="0" fontId="22" fillId="3" borderId="27" xfId="2" applyFont="1" applyFill="1" applyBorder="1" applyAlignment="1">
      <alignment horizontal="left" vertical="top" wrapText="1"/>
    </xf>
    <xf numFmtId="0" fontId="22" fillId="3" borderId="18" xfId="2" applyFont="1" applyFill="1" applyBorder="1" applyAlignment="1">
      <alignment horizontal="left" vertical="top" wrapText="1"/>
    </xf>
    <xf numFmtId="0" fontId="22" fillId="3" borderId="1" xfId="2" applyFont="1" applyFill="1" applyBorder="1" applyAlignment="1">
      <alignment horizontal="center" vertical="top"/>
    </xf>
    <xf numFmtId="0" fontId="30" fillId="3" borderId="4" xfId="2" applyFont="1" applyFill="1" applyBorder="1"/>
    <xf numFmtId="0" fontId="30" fillId="3" borderId="6" xfId="2" applyFont="1" applyFill="1" applyBorder="1"/>
    <xf numFmtId="0" fontId="30" fillId="3" borderId="35" xfId="2" applyFont="1" applyFill="1" applyBorder="1"/>
    <xf numFmtId="0" fontId="30" fillId="3" borderId="41" xfId="2" applyFont="1" applyFill="1" applyBorder="1"/>
    <xf numFmtId="0" fontId="17" fillId="6" borderId="0" xfId="2" applyFont="1" applyFill="1" applyAlignment="1">
      <alignment horizontal="center" wrapText="1"/>
    </xf>
    <xf numFmtId="0" fontId="17" fillId="6" borderId="0" xfId="2" applyFont="1" applyFill="1" applyAlignment="1">
      <alignment horizontal="center"/>
    </xf>
    <xf numFmtId="0" fontId="26" fillId="6" borderId="0" xfId="2" applyFont="1" applyFill="1" applyAlignment="1">
      <alignment horizontal="center"/>
    </xf>
    <xf numFmtId="0" fontId="12" fillId="3" borderId="0" xfId="2" applyFont="1" applyFill="1" applyAlignment="1">
      <alignment horizontal="left" vertical="center" wrapText="1"/>
    </xf>
    <xf numFmtId="0" fontId="30" fillId="3" borderId="0" xfId="2" applyFont="1" applyFill="1"/>
    <xf numFmtId="0" fontId="31" fillId="6" borderId="0" xfId="2" applyFont="1" applyFill="1" applyAlignment="1">
      <alignment vertical="center" wrapText="1"/>
    </xf>
    <xf numFmtId="0" fontId="32" fillId="8" borderId="14" xfId="2" applyFont="1" applyFill="1" applyBorder="1" applyAlignment="1">
      <alignment horizontal="center" vertical="center"/>
    </xf>
    <xf numFmtId="0" fontId="32" fillId="8" borderId="2" xfId="2" applyFont="1" applyFill="1" applyBorder="1" applyAlignment="1">
      <alignment horizontal="center" vertical="center"/>
    </xf>
    <xf numFmtId="0" fontId="32" fillId="8" borderId="103" xfId="2" applyFont="1" applyFill="1" applyBorder="1" applyAlignment="1">
      <alignment horizontal="center" vertical="center"/>
    </xf>
    <xf numFmtId="0" fontId="32" fillId="8" borderId="7" xfId="2" applyFont="1" applyFill="1" applyBorder="1" applyAlignment="1">
      <alignment horizontal="center" vertical="center"/>
    </xf>
    <xf numFmtId="0" fontId="31" fillId="6" borderId="7" xfId="2" applyFont="1" applyFill="1" applyBorder="1" applyAlignment="1">
      <alignment horizontal="left" wrapText="1"/>
    </xf>
    <xf numFmtId="0" fontId="32" fillId="7" borderId="34" xfId="2" applyFont="1" applyFill="1" applyBorder="1" applyAlignment="1">
      <alignment horizontal="center" vertical="center"/>
    </xf>
    <xf numFmtId="0" fontId="41" fillId="0" borderId="0" xfId="3" applyFont="1" applyAlignment="1">
      <alignment horizontal="center" vertical="center" wrapText="1"/>
    </xf>
    <xf numFmtId="0" fontId="41" fillId="0" borderId="0" xfId="3" applyFont="1" applyAlignment="1">
      <alignment horizontal="center" vertical="center"/>
    </xf>
    <xf numFmtId="0" fontId="42" fillId="0" borderId="0" xfId="3" applyFont="1" applyAlignment="1">
      <alignment horizontal="center" vertical="center"/>
    </xf>
    <xf numFmtId="0" fontId="44" fillId="0" borderId="47" xfId="3" applyFont="1" applyBorder="1" applyAlignment="1">
      <alignment horizontal="left"/>
    </xf>
    <xf numFmtId="0" fontId="44" fillId="0" borderId="48" xfId="3" applyFont="1" applyBorder="1" applyAlignment="1">
      <alignment horizontal="left"/>
    </xf>
    <xf numFmtId="0" fontId="37" fillId="4" borderId="32" xfId="3" applyFont="1" applyFill="1" applyBorder="1" applyAlignment="1">
      <alignment horizontal="right" indent="1"/>
    </xf>
    <xf numFmtId="0" fontId="37" fillId="4" borderId="47" xfId="3" applyFont="1" applyFill="1" applyBorder="1" applyAlignment="1">
      <alignment horizontal="right" indent="1"/>
    </xf>
    <xf numFmtId="164" fontId="42" fillId="3" borderId="53" xfId="3" applyNumberFormat="1" applyFont="1" applyFill="1" applyBorder="1" applyAlignment="1">
      <alignment horizontal="center" vertical="center"/>
    </xf>
    <xf numFmtId="164" fontId="42" fillId="3" borderId="54" xfId="3" applyNumberFormat="1" applyFont="1" applyFill="1" applyBorder="1" applyAlignment="1">
      <alignment horizontal="center" vertical="center"/>
    </xf>
    <xf numFmtId="0" fontId="35" fillId="0" borderId="26" xfId="3" applyFont="1" applyBorder="1" applyAlignment="1">
      <alignment horizontal="center" vertical="center"/>
    </xf>
    <xf numFmtId="0" fontId="42" fillId="3" borderId="12" xfId="3" applyFont="1" applyFill="1" applyBorder="1" applyAlignment="1">
      <alignment horizontal="center" wrapText="1"/>
    </xf>
    <xf numFmtId="0" fontId="42" fillId="3" borderId="18" xfId="3" applyFont="1" applyFill="1" applyBorder="1" applyAlignment="1">
      <alignment horizontal="center"/>
    </xf>
    <xf numFmtId="17" fontId="44" fillId="0" borderId="50" xfId="3" applyNumberFormat="1" applyFont="1" applyBorder="1" applyAlignment="1">
      <alignment horizontal="left"/>
    </xf>
    <xf numFmtId="0" fontId="44" fillId="0" borderId="50" xfId="3" applyFont="1" applyBorder="1" applyAlignment="1">
      <alignment horizontal="left"/>
    </xf>
    <xf numFmtId="0" fontId="44" fillId="0" borderId="51" xfId="3" applyFont="1" applyBorder="1" applyAlignment="1">
      <alignment horizontal="left"/>
    </xf>
    <xf numFmtId="0" fontId="41" fillId="9" borderId="0" xfId="3" applyFont="1" applyFill="1" applyAlignment="1">
      <alignment horizontal="center"/>
    </xf>
    <xf numFmtId="0" fontId="42" fillId="3" borderId="26" xfId="3" applyFont="1" applyFill="1" applyBorder="1" applyAlignment="1">
      <alignment horizontal="center" vertical="center" wrapText="1"/>
    </xf>
    <xf numFmtId="0" fontId="42" fillId="3" borderId="42" xfId="3" applyFont="1" applyFill="1" applyBorder="1" applyAlignment="1">
      <alignment horizontal="center" vertical="center" wrapText="1"/>
    </xf>
    <xf numFmtId="0" fontId="42" fillId="3" borderId="11" xfId="3" applyFont="1" applyFill="1" applyBorder="1" applyAlignment="1">
      <alignment horizontal="center" vertical="center" wrapText="1"/>
    </xf>
    <xf numFmtId="0" fontId="42" fillId="3" borderId="13" xfId="3" applyFont="1" applyFill="1" applyBorder="1" applyAlignment="1">
      <alignment horizontal="center" vertical="center" wrapText="1"/>
    </xf>
    <xf numFmtId="0" fontId="43" fillId="3" borderId="11" xfId="3" applyFont="1" applyFill="1" applyBorder="1" applyAlignment="1">
      <alignment horizontal="center" vertical="center" wrapText="1"/>
    </xf>
    <xf numFmtId="0" fontId="43" fillId="3" borderId="13" xfId="3" applyFont="1" applyFill="1" applyBorder="1" applyAlignment="1">
      <alignment horizontal="center" vertical="center" wrapText="1"/>
    </xf>
    <xf numFmtId="0" fontId="42" fillId="3" borderId="11" xfId="3" applyFont="1" applyFill="1" applyBorder="1" applyAlignment="1">
      <alignment horizontal="center"/>
    </xf>
    <xf numFmtId="0" fontId="37" fillId="4" borderId="30" xfId="3" applyFont="1" applyFill="1" applyBorder="1" applyAlignment="1">
      <alignment horizontal="right" indent="1"/>
    </xf>
    <xf numFmtId="0" fontId="37" fillId="4" borderId="0" xfId="3" applyFont="1" applyFill="1" applyAlignment="1">
      <alignment horizontal="right" indent="1"/>
    </xf>
    <xf numFmtId="0" fontId="43" fillId="3" borderId="0" xfId="0" applyFont="1" applyFill="1" applyAlignment="1">
      <alignment horizontal="left"/>
    </xf>
    <xf numFmtId="166" fontId="43" fillId="3" borderId="0" xfId="0" applyNumberFormat="1" applyFont="1" applyFill="1" applyAlignment="1">
      <alignment horizontal="left"/>
    </xf>
    <xf numFmtId="0" fontId="43" fillId="3" borderId="0" xfId="0" applyFont="1" applyFill="1" applyAlignment="1">
      <alignment horizontal="left" shrinkToFit="1"/>
    </xf>
    <xf numFmtId="0" fontId="42" fillId="3" borderId="57" xfId="3" applyFont="1" applyFill="1" applyBorder="1" applyAlignment="1">
      <alignment horizontal="center" vertical="center"/>
    </xf>
    <xf numFmtId="0" fontId="42" fillId="3" borderId="61" xfId="3" applyFont="1" applyFill="1" applyBorder="1" applyAlignment="1">
      <alignment horizontal="center" vertical="center"/>
    </xf>
    <xf numFmtId="164" fontId="42" fillId="3" borderId="47" xfId="3" applyNumberFormat="1" applyFont="1" applyFill="1" applyBorder="1" applyAlignment="1">
      <alignment horizontal="center" vertical="center"/>
    </xf>
    <xf numFmtId="164" fontId="42" fillId="3" borderId="102" xfId="3" applyNumberFormat="1" applyFont="1" applyFill="1" applyBorder="1" applyAlignment="1">
      <alignment horizontal="center" vertical="center"/>
    </xf>
    <xf numFmtId="0" fontId="42" fillId="4" borderId="27" xfId="3" applyFont="1" applyFill="1" applyBorder="1" applyAlignment="1">
      <alignment horizontal="right" vertical="center"/>
    </xf>
    <xf numFmtId="0" fontId="42" fillId="4" borderId="13" xfId="3" applyFont="1" applyFill="1" applyBorder="1" applyAlignment="1">
      <alignment horizontal="right" vertical="center"/>
    </xf>
    <xf numFmtId="0" fontId="42" fillId="4" borderId="18" xfId="3" applyFont="1" applyFill="1" applyBorder="1" applyAlignment="1">
      <alignment horizontal="right" vertical="center"/>
    </xf>
    <xf numFmtId="0" fontId="26" fillId="4" borderId="1" xfId="3" applyFont="1" applyFill="1" applyBorder="1" applyAlignment="1">
      <alignment horizontal="center" vertical="center" wrapText="1"/>
    </xf>
    <xf numFmtId="0" fontId="26" fillId="4" borderId="2" xfId="3" applyFont="1" applyFill="1" applyBorder="1" applyAlignment="1">
      <alignment horizontal="center" vertical="center" wrapText="1"/>
    </xf>
    <xf numFmtId="0" fontId="26" fillId="4" borderId="6" xfId="3" applyFont="1" applyFill="1" applyBorder="1" applyAlignment="1">
      <alignment horizontal="center" vertical="center" wrapText="1"/>
    </xf>
    <xf numFmtId="0" fontId="26" fillId="4" borderId="7" xfId="3" applyFont="1" applyFill="1" applyBorder="1" applyAlignment="1">
      <alignment horizontal="center" vertical="center" wrapText="1"/>
    </xf>
    <xf numFmtId="0" fontId="42" fillId="4" borderId="52" xfId="3" applyFont="1" applyFill="1" applyBorder="1" applyAlignment="1">
      <alignment horizontal="right" vertical="center"/>
    </xf>
    <xf numFmtId="0" fontId="42" fillId="4" borderId="53" xfId="3" applyFont="1" applyFill="1" applyBorder="1" applyAlignment="1">
      <alignment horizontal="right" vertical="center"/>
    </xf>
    <xf numFmtId="0" fontId="42" fillId="4" borderId="54" xfId="3" applyFont="1" applyFill="1" applyBorder="1" applyAlignment="1">
      <alignment horizontal="right" vertical="center"/>
    </xf>
    <xf numFmtId="164" fontId="42" fillId="4" borderId="53" xfId="3" applyNumberFormat="1" applyFont="1" applyFill="1" applyBorder="1" applyAlignment="1">
      <alignment horizontal="center" vertical="center"/>
    </xf>
    <xf numFmtId="164" fontId="42" fillId="4" borderId="54" xfId="3" applyNumberFormat="1" applyFont="1" applyFill="1" applyBorder="1" applyAlignment="1">
      <alignment horizontal="center" vertical="center"/>
    </xf>
    <xf numFmtId="0" fontId="42" fillId="4" borderId="63" xfId="3" applyFont="1" applyFill="1" applyBorder="1" applyAlignment="1">
      <alignment horizontal="center" vertical="center"/>
    </xf>
    <xf numFmtId="0" fontId="42" fillId="4" borderId="65" xfId="3" applyFont="1" applyFill="1" applyBorder="1" applyAlignment="1">
      <alignment horizontal="center" vertical="center"/>
    </xf>
    <xf numFmtId="0" fontId="35" fillId="0" borderId="20" xfId="3" applyFont="1" applyBorder="1" applyAlignment="1">
      <alignment horizontal="center" vertical="center"/>
    </xf>
    <xf numFmtId="164" fontId="42" fillId="3" borderId="57" xfId="3" applyNumberFormat="1" applyFont="1" applyFill="1" applyBorder="1" applyAlignment="1">
      <alignment horizontal="center" vertical="center"/>
    </xf>
    <xf numFmtId="0" fontId="42" fillId="3" borderId="11" xfId="3" applyFont="1" applyFill="1" applyBorder="1" applyAlignment="1">
      <alignment horizontal="center" vertical="center"/>
    </xf>
    <xf numFmtId="0" fontId="42" fillId="3" borderId="13" xfId="3" applyFont="1" applyFill="1" applyBorder="1" applyAlignment="1">
      <alignment horizontal="center" vertical="center"/>
    </xf>
    <xf numFmtId="0" fontId="44" fillId="0" borderId="0" xfId="3" applyFont="1" applyAlignment="1">
      <alignment horizontal="left"/>
    </xf>
    <xf numFmtId="0" fontId="44" fillId="0" borderId="49" xfId="3" applyFont="1" applyBorder="1" applyAlignment="1">
      <alignment horizontal="left"/>
    </xf>
    <xf numFmtId="0" fontId="43" fillId="0" borderId="0" xfId="3" applyFont="1" applyAlignment="1">
      <alignment horizontal="left"/>
    </xf>
    <xf numFmtId="0" fontId="43" fillId="0" borderId="49" xfId="3" applyFont="1" applyBorder="1" applyAlignment="1">
      <alignment horizontal="left"/>
    </xf>
    <xf numFmtId="0" fontId="44" fillId="0" borderId="32" xfId="3" applyFont="1" applyBorder="1" applyAlignment="1">
      <alignment horizontal="left"/>
    </xf>
    <xf numFmtId="0" fontId="44" fillId="0" borderId="30" xfId="3" applyFont="1" applyBorder="1" applyAlignment="1">
      <alignment horizontal="left"/>
    </xf>
    <xf numFmtId="166" fontId="44" fillId="0" borderId="30" xfId="3" applyNumberFormat="1" applyFont="1" applyBorder="1" applyAlignment="1">
      <alignment horizontal="left"/>
    </xf>
    <xf numFmtId="166" fontId="44" fillId="0" borderId="0" xfId="3" applyNumberFormat="1" applyFont="1" applyAlignment="1">
      <alignment horizontal="left"/>
    </xf>
    <xf numFmtId="166" fontId="44" fillId="0" borderId="49" xfId="3" applyNumberFormat="1" applyFont="1" applyBorder="1" applyAlignment="1">
      <alignment horizontal="left"/>
    </xf>
    <xf numFmtId="0" fontId="42" fillId="3" borderId="1" xfId="3" applyFont="1" applyFill="1" applyBorder="1" applyAlignment="1">
      <alignment horizontal="center" vertical="center"/>
    </xf>
    <xf numFmtId="0" fontId="42" fillId="3" borderId="3" xfId="3" applyFont="1" applyFill="1" applyBorder="1" applyAlignment="1">
      <alignment horizontal="center" vertical="center"/>
    </xf>
    <xf numFmtId="0" fontId="42" fillId="4" borderId="6" xfId="3" applyFont="1" applyFill="1" applyBorder="1" applyAlignment="1">
      <alignment horizontal="right" vertical="center"/>
    </xf>
    <xf numFmtId="0" fontId="42" fillId="4" borderId="7" xfId="3" applyFont="1" applyFill="1" applyBorder="1" applyAlignment="1">
      <alignment horizontal="right" vertical="center"/>
    </xf>
    <xf numFmtId="0" fontId="42" fillId="4" borderId="8" xfId="3" applyFont="1" applyFill="1" applyBorder="1" applyAlignment="1">
      <alignment horizontal="right" vertical="center"/>
    </xf>
    <xf numFmtId="0" fontId="42" fillId="4" borderId="1" xfId="3" applyFont="1" applyFill="1" applyBorder="1" applyAlignment="1">
      <alignment horizontal="center" vertical="center" wrapText="1"/>
    </xf>
    <xf numFmtId="0" fontId="42" fillId="4" borderId="2" xfId="3" applyFont="1" applyFill="1" applyBorder="1" applyAlignment="1">
      <alignment horizontal="center" vertical="center" wrapText="1"/>
    </xf>
    <xf numFmtId="0" fontId="42" fillId="4" borderId="6" xfId="3" applyFont="1" applyFill="1" applyBorder="1" applyAlignment="1">
      <alignment horizontal="center" vertical="center" wrapText="1"/>
    </xf>
    <xf numFmtId="0" fontId="42" fillId="4" borderId="7" xfId="3" applyFont="1" applyFill="1" applyBorder="1" applyAlignment="1">
      <alignment horizontal="center" vertical="center" wrapText="1"/>
    </xf>
    <xf numFmtId="166" fontId="43" fillId="3" borderId="0" xfId="0" applyNumberFormat="1" applyFont="1" applyFill="1" applyAlignment="1">
      <alignment horizontal="left" shrinkToFit="1"/>
    </xf>
    <xf numFmtId="164" fontId="42" fillId="3" borderId="56" xfId="3" applyNumberFormat="1" applyFont="1" applyFill="1" applyBorder="1" applyAlignment="1">
      <alignment horizontal="center" vertical="center"/>
    </xf>
    <xf numFmtId="164" fontId="42" fillId="3" borderId="10" xfId="3" applyNumberFormat="1" applyFont="1" applyFill="1" applyBorder="1" applyAlignment="1">
      <alignment horizontal="center" vertical="center"/>
    </xf>
    <xf numFmtId="0" fontId="42" fillId="3" borderId="26" xfId="3" applyFont="1" applyFill="1" applyBorder="1" applyAlignment="1">
      <alignment horizontal="center" vertical="center"/>
    </xf>
    <xf numFmtId="0" fontId="42" fillId="3" borderId="12" xfId="3" applyFont="1" applyFill="1" applyBorder="1" applyAlignment="1">
      <alignment horizontal="center" vertical="center"/>
    </xf>
    <xf numFmtId="164" fontId="42" fillId="3" borderId="46" xfId="3" applyNumberFormat="1" applyFont="1" applyFill="1" applyBorder="1" applyAlignment="1">
      <alignment horizontal="center" vertical="center"/>
    </xf>
    <xf numFmtId="164" fontId="42" fillId="3" borderId="12" xfId="3" applyNumberFormat="1" applyFont="1" applyFill="1" applyBorder="1" applyAlignment="1">
      <alignment horizontal="center" vertical="center"/>
    </xf>
    <xf numFmtId="164" fontId="42" fillId="3" borderId="27" xfId="3" applyNumberFormat="1" applyFont="1" applyFill="1" applyBorder="1" applyAlignment="1">
      <alignment horizontal="center" vertical="center"/>
    </xf>
    <xf numFmtId="164" fontId="42" fillId="3" borderId="18" xfId="3" applyNumberFormat="1" applyFont="1" applyFill="1" applyBorder="1" applyAlignment="1">
      <alignment horizontal="center" vertical="center"/>
    </xf>
    <xf numFmtId="164" fontId="42" fillId="3" borderId="60" xfId="3" applyNumberFormat="1" applyFont="1" applyFill="1" applyBorder="1" applyAlignment="1">
      <alignment horizontal="center" vertical="center"/>
    </xf>
    <xf numFmtId="164" fontId="42" fillId="3" borderId="25" xfId="3" applyNumberFormat="1" applyFont="1" applyFill="1" applyBorder="1" applyAlignment="1">
      <alignment horizontal="center" vertical="center"/>
    </xf>
    <xf numFmtId="164" fontId="42" fillId="10" borderId="53" xfId="3" applyNumberFormat="1" applyFont="1" applyFill="1" applyBorder="1" applyAlignment="1">
      <alignment horizontal="center" vertical="center"/>
    </xf>
    <xf numFmtId="164" fontId="42" fillId="10" borderId="54" xfId="3" applyNumberFormat="1" applyFont="1" applyFill="1" applyBorder="1" applyAlignment="1">
      <alignment horizontal="center" vertical="center"/>
    </xf>
    <xf numFmtId="0" fontId="42" fillId="10" borderId="63" xfId="3" applyFont="1" applyFill="1" applyBorder="1" applyAlignment="1">
      <alignment horizontal="center" vertical="center"/>
    </xf>
    <xf numFmtId="0" fontId="42" fillId="10" borderId="65" xfId="3" applyFont="1" applyFill="1" applyBorder="1" applyAlignment="1">
      <alignment horizontal="center" vertical="center"/>
    </xf>
    <xf numFmtId="0" fontId="42" fillId="10" borderId="1" xfId="3" applyFont="1" applyFill="1" applyBorder="1" applyAlignment="1">
      <alignment horizontal="right" vertical="center"/>
    </xf>
    <xf numFmtId="0" fontId="42" fillId="10" borderId="2" xfId="3" applyFont="1" applyFill="1" applyBorder="1" applyAlignment="1">
      <alignment horizontal="right" vertical="center"/>
    </xf>
    <xf numFmtId="0" fontId="42" fillId="10" borderId="3" xfId="3" applyFont="1" applyFill="1" applyBorder="1" applyAlignment="1">
      <alignment horizontal="right" vertical="center"/>
    </xf>
    <xf numFmtId="0" fontId="42" fillId="10" borderId="62" xfId="3" applyFont="1" applyFill="1" applyBorder="1" applyAlignment="1">
      <alignment horizontal="right" vertical="center"/>
    </xf>
    <xf numFmtId="0" fontId="42" fillId="10" borderId="63" xfId="3" applyFont="1" applyFill="1" applyBorder="1" applyAlignment="1">
      <alignment horizontal="right" vertical="center"/>
    </xf>
    <xf numFmtId="0" fontId="42" fillId="10" borderId="65" xfId="3" applyFont="1" applyFill="1" applyBorder="1" applyAlignment="1">
      <alignment horizontal="right" vertical="center"/>
    </xf>
    <xf numFmtId="0" fontId="26" fillId="10" borderId="1" xfId="3" applyFont="1" applyFill="1" applyBorder="1" applyAlignment="1">
      <alignment horizontal="center" vertical="center" wrapText="1"/>
    </xf>
    <xf numFmtId="0" fontId="26" fillId="10" borderId="2" xfId="3" applyFont="1" applyFill="1" applyBorder="1" applyAlignment="1">
      <alignment horizontal="center" vertical="center" wrapText="1"/>
    </xf>
    <xf numFmtId="0" fontId="26" fillId="10" borderId="6" xfId="3" applyFont="1" applyFill="1" applyBorder="1" applyAlignment="1">
      <alignment horizontal="center" vertical="center" wrapText="1"/>
    </xf>
    <xf numFmtId="0" fontId="26" fillId="10" borderId="7" xfId="3" applyFont="1" applyFill="1" applyBorder="1" applyAlignment="1">
      <alignment horizontal="center" vertical="center" wrapText="1"/>
    </xf>
    <xf numFmtId="0" fontId="35" fillId="0" borderId="66" xfId="3" applyFont="1" applyBorder="1" applyAlignment="1">
      <alignment horizontal="center" vertical="center"/>
    </xf>
    <xf numFmtId="17" fontId="44" fillId="0" borderId="7" xfId="3" applyNumberFormat="1" applyFont="1" applyBorder="1" applyAlignment="1">
      <alignment horizontal="left"/>
    </xf>
    <xf numFmtId="0" fontId="44" fillId="0" borderId="7" xfId="3" applyFont="1" applyBorder="1" applyAlignment="1">
      <alignment horizontal="left"/>
    </xf>
    <xf numFmtId="0" fontId="44" fillId="0" borderId="68" xfId="3" applyFont="1" applyBorder="1" applyAlignment="1">
      <alignment horizontal="left"/>
    </xf>
    <xf numFmtId="0" fontId="37" fillId="10" borderId="101" xfId="3" applyFont="1" applyFill="1" applyBorder="1" applyAlignment="1">
      <alignment horizontal="center"/>
    </xf>
    <xf numFmtId="0" fontId="37" fillId="10" borderId="7" xfId="3" applyFont="1" applyFill="1" applyBorder="1" applyAlignment="1">
      <alignment horizontal="center"/>
    </xf>
    <xf numFmtId="0" fontId="37" fillId="3" borderId="7" xfId="3" applyFont="1" applyFill="1" applyBorder="1" applyAlignment="1">
      <alignment horizontal="center"/>
    </xf>
    <xf numFmtId="0" fontId="37" fillId="3" borderId="8" xfId="3" applyFont="1" applyFill="1" applyBorder="1" applyAlignment="1">
      <alignment horizontal="center"/>
    </xf>
    <xf numFmtId="0" fontId="37" fillId="10" borderId="30" xfId="3" applyFont="1" applyFill="1" applyBorder="1" applyAlignment="1">
      <alignment horizontal="right"/>
    </xf>
    <xf numFmtId="0" fontId="37" fillId="10" borderId="0" xfId="3" applyFont="1" applyFill="1" applyAlignment="1">
      <alignment horizontal="right"/>
    </xf>
    <xf numFmtId="0" fontId="44" fillId="3" borderId="0" xfId="3" applyFont="1" applyFill="1" applyAlignment="1">
      <alignment horizontal="left"/>
    </xf>
    <xf numFmtId="0" fontId="44" fillId="3" borderId="5" xfId="3" applyFont="1" applyFill="1" applyBorder="1" applyAlignment="1">
      <alignment horizontal="left"/>
    </xf>
    <xf numFmtId="166" fontId="44" fillId="3" borderId="0" xfId="3" applyNumberFormat="1" applyFont="1" applyFill="1" applyAlignment="1">
      <alignment horizontal="left"/>
    </xf>
    <xf numFmtId="166" fontId="44" fillId="3" borderId="5" xfId="3" applyNumberFormat="1" applyFont="1" applyFill="1" applyBorder="1" applyAlignment="1">
      <alignment horizontal="left"/>
    </xf>
    <xf numFmtId="0" fontId="44" fillId="0" borderId="2" xfId="3" applyFont="1" applyBorder="1" applyAlignment="1">
      <alignment horizontal="left"/>
    </xf>
    <xf numFmtId="0" fontId="44" fillId="0" borderId="64" xfId="3" applyFont="1" applyBorder="1" applyAlignment="1">
      <alignment horizontal="left"/>
    </xf>
    <xf numFmtId="0" fontId="37" fillId="10" borderId="100" xfId="3" applyFont="1" applyFill="1" applyBorder="1" applyAlignment="1">
      <alignment horizontal="right"/>
    </xf>
    <xf numFmtId="0" fontId="37" fillId="10" borderId="2" xfId="3" applyFont="1" applyFill="1" applyBorder="1" applyAlignment="1">
      <alignment horizontal="right"/>
    </xf>
    <xf numFmtId="0" fontId="44" fillId="3" borderId="2" xfId="3" applyFont="1" applyFill="1" applyBorder="1" applyAlignment="1">
      <alignment horizontal="left"/>
    </xf>
    <xf numFmtId="0" fontId="44" fillId="3" borderId="3" xfId="3" applyFont="1" applyFill="1" applyBorder="1" applyAlignment="1">
      <alignment horizontal="left"/>
    </xf>
    <xf numFmtId="164" fontId="42" fillId="5" borderId="53" xfId="3" applyNumberFormat="1" applyFont="1" applyFill="1" applyBorder="1" applyAlignment="1">
      <alignment horizontal="center" vertical="center"/>
    </xf>
    <xf numFmtId="164" fontId="42" fillId="5" borderId="54" xfId="3" applyNumberFormat="1" applyFont="1" applyFill="1" applyBorder="1" applyAlignment="1">
      <alignment horizontal="center" vertical="center"/>
    </xf>
    <xf numFmtId="0" fontId="42" fillId="5" borderId="63" xfId="3" applyFont="1" applyFill="1" applyBorder="1" applyAlignment="1">
      <alignment horizontal="center" vertical="center"/>
    </xf>
    <xf numFmtId="0" fontId="42" fillId="5" borderId="65" xfId="3" applyFont="1" applyFill="1" applyBorder="1" applyAlignment="1">
      <alignment horizontal="center" vertical="center"/>
    </xf>
    <xf numFmtId="0" fontId="42" fillId="5" borderId="1" xfId="3" applyFont="1" applyFill="1" applyBorder="1" applyAlignment="1">
      <alignment horizontal="right" vertical="center"/>
    </xf>
    <xf numFmtId="0" fontId="42" fillId="5" borderId="2" xfId="3" applyFont="1" applyFill="1" applyBorder="1" applyAlignment="1">
      <alignment horizontal="right" vertical="center"/>
    </xf>
    <xf numFmtId="0" fontId="42" fillId="5" borderId="3" xfId="3" applyFont="1" applyFill="1" applyBorder="1" applyAlignment="1">
      <alignment horizontal="right" vertical="center"/>
    </xf>
    <xf numFmtId="0" fontId="42" fillId="5" borderId="62" xfId="3" applyFont="1" applyFill="1" applyBorder="1" applyAlignment="1">
      <alignment horizontal="right" vertical="center"/>
    </xf>
    <xf numFmtId="0" fontId="42" fillId="5" borderId="63" xfId="3" applyFont="1" applyFill="1" applyBorder="1" applyAlignment="1">
      <alignment horizontal="right" vertical="center"/>
    </xf>
    <xf numFmtId="0" fontId="42" fillId="5" borderId="65" xfId="3" applyFont="1" applyFill="1" applyBorder="1" applyAlignment="1">
      <alignment horizontal="right" vertical="center"/>
    </xf>
    <xf numFmtId="0" fontId="19" fillId="3" borderId="0" xfId="0" applyFont="1" applyFill="1" applyAlignment="1">
      <alignment horizontal="left"/>
    </xf>
    <xf numFmtId="166" fontId="19" fillId="3" borderId="0" xfId="0" applyNumberFormat="1" applyFont="1" applyFill="1" applyAlignment="1">
      <alignment horizontal="left"/>
    </xf>
    <xf numFmtId="0" fontId="42" fillId="5" borderId="1" xfId="3" applyFont="1" applyFill="1" applyBorder="1" applyAlignment="1">
      <alignment horizontal="center" vertical="center" wrapText="1"/>
    </xf>
    <xf numFmtId="0" fontId="42" fillId="5" borderId="2" xfId="3" applyFont="1" applyFill="1" applyBorder="1" applyAlignment="1">
      <alignment horizontal="center" vertical="center" wrapText="1"/>
    </xf>
    <xf numFmtId="0" fontId="42" fillId="5" borderId="6" xfId="3" applyFont="1" applyFill="1" applyBorder="1" applyAlignment="1">
      <alignment horizontal="center" vertical="center" wrapText="1"/>
    </xf>
    <xf numFmtId="0" fontId="42" fillId="5" borderId="7" xfId="3" applyFont="1" applyFill="1" applyBorder="1" applyAlignment="1">
      <alignment horizontal="center" vertical="center" wrapText="1"/>
    </xf>
    <xf numFmtId="0" fontId="19" fillId="0" borderId="62" xfId="4" applyFont="1" applyBorder="1" applyAlignment="1">
      <alignment horizontal="left" vertical="top" wrapText="1"/>
    </xf>
    <xf numFmtId="0" fontId="19" fillId="0" borderId="60" xfId="4" applyFont="1" applyBorder="1" applyAlignment="1">
      <alignment horizontal="left" vertical="top" wrapText="1"/>
    </xf>
    <xf numFmtId="0" fontId="19" fillId="0" borderId="55" xfId="4" applyFont="1" applyBorder="1" applyAlignment="1">
      <alignment horizontal="left" vertical="top" wrapText="1"/>
    </xf>
    <xf numFmtId="0" fontId="19" fillId="0" borderId="56" xfId="4" applyFont="1" applyBorder="1" applyAlignment="1">
      <alignment horizontal="left" vertical="top" wrapText="1"/>
    </xf>
    <xf numFmtId="0" fontId="19" fillId="0" borderId="44" xfId="4" applyFont="1" applyBorder="1" applyAlignment="1">
      <alignment horizontal="left" vertical="top" wrapText="1"/>
    </xf>
    <xf numFmtId="0" fontId="19" fillId="0" borderId="46" xfId="4" applyFont="1" applyBorder="1" applyAlignment="1">
      <alignment horizontal="left" vertical="top" wrapText="1"/>
    </xf>
    <xf numFmtId="0" fontId="19" fillId="0" borderId="59" xfId="4" applyFont="1" applyBorder="1" applyAlignment="1">
      <alignment horizontal="left" vertical="top" wrapText="1"/>
    </xf>
    <xf numFmtId="0" fontId="50" fillId="3" borderId="26" xfId="4" applyFont="1" applyFill="1" applyBorder="1" applyAlignment="1">
      <alignment vertical="center" wrapText="1"/>
    </xf>
    <xf numFmtId="0" fontId="50" fillId="3" borderId="46" xfId="4" applyFont="1" applyFill="1" applyBorder="1" applyAlignment="1">
      <alignment vertical="center" wrapText="1"/>
    </xf>
    <xf numFmtId="0" fontId="50" fillId="3" borderId="11" xfId="4" applyFont="1" applyFill="1" applyBorder="1" applyAlignment="1">
      <alignment vertical="center" wrapText="1"/>
    </xf>
    <xf numFmtId="0" fontId="50" fillId="3" borderId="12" xfId="4" applyFont="1" applyFill="1" applyBorder="1" applyAlignment="1">
      <alignment vertical="center" wrapText="1"/>
    </xf>
    <xf numFmtId="0" fontId="51" fillId="3" borderId="69" xfId="4" applyFont="1" applyFill="1" applyBorder="1" applyAlignment="1">
      <alignment vertical="top" wrapText="1"/>
    </xf>
    <xf numFmtId="0" fontId="51" fillId="3" borderId="99" xfId="4" applyFont="1" applyFill="1" applyBorder="1" applyAlignment="1">
      <alignment vertical="top" wrapText="1"/>
    </xf>
    <xf numFmtId="0" fontId="51" fillId="3" borderId="70" xfId="4" applyFont="1" applyFill="1" applyBorder="1" applyAlignment="1">
      <alignment vertical="top" wrapText="1"/>
    </xf>
    <xf numFmtId="0" fontId="51" fillId="3" borderId="71" xfId="4" applyFont="1" applyFill="1" applyBorder="1" applyAlignment="1">
      <alignment vertical="top" wrapText="1"/>
    </xf>
    <xf numFmtId="0" fontId="19" fillId="0" borderId="52" xfId="4" applyFont="1" applyBorder="1" applyAlignment="1">
      <alignment horizontal="left" vertical="top" wrapText="1"/>
    </xf>
    <xf numFmtId="0" fontId="19" fillId="0" borderId="72" xfId="4" applyFont="1" applyBorder="1" applyAlignment="1">
      <alignment horizontal="left" vertical="top" wrapText="1"/>
    </xf>
    <xf numFmtId="0" fontId="49" fillId="0" borderId="1" xfId="4" applyFont="1" applyBorder="1" applyAlignment="1">
      <alignment horizontal="center" vertical="center" wrapText="1"/>
    </xf>
    <xf numFmtId="0" fontId="49" fillId="0" borderId="2" xfId="4" applyFont="1" applyBorder="1" applyAlignment="1">
      <alignment horizontal="center" vertical="center" wrapText="1"/>
    </xf>
    <xf numFmtId="0" fontId="49" fillId="0" borderId="3" xfId="4" applyFont="1" applyBorder="1" applyAlignment="1">
      <alignment horizontal="center" vertical="center" wrapText="1"/>
    </xf>
    <xf numFmtId="0" fontId="50" fillId="11" borderId="9" xfId="4" applyFont="1" applyFill="1" applyBorder="1" applyAlignment="1">
      <alignment horizontal="center" vertical="center" wrapText="1"/>
    </xf>
    <xf numFmtId="0" fontId="50" fillId="11" borderId="11" xfId="4" applyFont="1" applyFill="1" applyBorder="1" applyAlignment="1">
      <alignment horizontal="center" vertical="center" wrapText="1"/>
    </xf>
    <xf numFmtId="0" fontId="50" fillId="11" borderId="10" xfId="4" applyFont="1" applyFill="1" applyBorder="1" applyAlignment="1">
      <alignment horizontal="center" vertical="center" wrapText="1"/>
    </xf>
    <xf numFmtId="0" fontId="50" fillId="11" borderId="12" xfId="4" applyFont="1" applyFill="1" applyBorder="1" applyAlignment="1">
      <alignment horizontal="center" vertical="center" wrapText="1"/>
    </xf>
    <xf numFmtId="0" fontId="50" fillId="11" borderId="1" xfId="4" applyFont="1" applyFill="1" applyBorder="1" applyAlignment="1">
      <alignment horizontal="center" vertical="center" wrapText="1"/>
    </xf>
    <xf numFmtId="0" fontId="50" fillId="11" borderId="64" xfId="4" applyFont="1" applyFill="1" applyBorder="1" applyAlignment="1">
      <alignment horizontal="center" vertical="center" wrapText="1"/>
    </xf>
    <xf numFmtId="0" fontId="50" fillId="11" borderId="4" xfId="4" applyFont="1" applyFill="1" applyBorder="1" applyAlignment="1">
      <alignment horizontal="center" vertical="center" wrapText="1"/>
    </xf>
    <xf numFmtId="0" fontId="50" fillId="11" borderId="49" xfId="4" applyFont="1" applyFill="1" applyBorder="1" applyAlignment="1">
      <alignment horizontal="center" vertical="center" wrapText="1"/>
    </xf>
    <xf numFmtId="0" fontId="50" fillId="11" borderId="37" xfId="4" applyFont="1" applyFill="1" applyBorder="1" applyAlignment="1">
      <alignment horizontal="center" vertical="center" wrapText="1"/>
    </xf>
    <xf numFmtId="0" fontId="50" fillId="11" borderId="51" xfId="4" applyFont="1" applyFill="1" applyBorder="1" applyAlignment="1">
      <alignment horizontal="center" vertical="center" wrapText="1"/>
    </xf>
    <xf numFmtId="0" fontId="50" fillId="11" borderId="100" xfId="4" applyFont="1" applyFill="1" applyBorder="1" applyAlignment="1">
      <alignment horizontal="center" vertical="center" wrapText="1"/>
    </xf>
    <xf numFmtId="0" fontId="50" fillId="11" borderId="30" xfId="4" applyFont="1" applyFill="1" applyBorder="1" applyAlignment="1">
      <alignment horizontal="center" vertical="center" wrapText="1"/>
    </xf>
    <xf numFmtId="0" fontId="50" fillId="11" borderId="31" xfId="4" applyFont="1" applyFill="1" applyBorder="1" applyAlignment="1">
      <alignment horizontal="center" vertical="center" wrapText="1"/>
    </xf>
    <xf numFmtId="0" fontId="48" fillId="0" borderId="0" xfId="4" applyFont="1" applyAlignment="1">
      <alignment horizontal="center"/>
    </xf>
    <xf numFmtId="0" fontId="51" fillId="11" borderId="25" xfId="4" applyFont="1" applyFill="1" applyBorder="1" applyAlignment="1">
      <alignment vertical="top" wrapText="1"/>
    </xf>
    <xf numFmtId="0" fontId="51" fillId="11" borderId="56" xfId="4" applyFont="1" applyFill="1" applyBorder="1" applyAlignment="1">
      <alignment vertical="top" wrapText="1"/>
    </xf>
    <xf numFmtId="0" fontId="51" fillId="11" borderId="9" xfId="4" applyFont="1" applyFill="1" applyBorder="1" applyAlignment="1">
      <alignment vertical="top" wrapText="1"/>
    </xf>
    <xf numFmtId="0" fontId="51" fillId="11" borderId="10" xfId="4" applyFont="1" applyFill="1" applyBorder="1" applyAlignment="1">
      <alignment vertical="top" wrapText="1"/>
    </xf>
    <xf numFmtId="0" fontId="55" fillId="0" borderId="57" xfId="4" applyFont="1" applyBorder="1" applyAlignment="1" applyProtection="1">
      <alignment horizontal="left" wrapText="1"/>
    </xf>
    <xf numFmtId="0" fontId="55" fillId="0" borderId="58" xfId="4" applyFont="1" applyBorder="1" applyAlignment="1" applyProtection="1">
      <alignment horizontal="left" wrapText="1"/>
    </xf>
    <xf numFmtId="0" fontId="55" fillId="0" borderId="61" xfId="4" applyFont="1" applyBorder="1" applyAlignment="1" applyProtection="1">
      <alignment horizontal="left" wrapText="1"/>
    </xf>
    <xf numFmtId="0" fontId="44" fillId="0" borderId="50" xfId="4" applyFont="1" applyBorder="1" applyAlignment="1">
      <alignment horizontal="center" wrapText="1"/>
    </xf>
    <xf numFmtId="0" fontId="49" fillId="0" borderId="0" xfId="4" applyFont="1" applyAlignment="1">
      <alignment horizontal="center" vertical="center" wrapText="1"/>
    </xf>
    <xf numFmtId="0" fontId="54" fillId="0" borderId="0" xfId="4" applyFont="1" applyAlignment="1">
      <alignment horizontal="center" vertical="center"/>
    </xf>
    <xf numFmtId="0" fontId="44" fillId="0" borderId="0" xfId="4" applyFont="1" applyAlignment="1">
      <alignment horizontal="center" wrapText="1"/>
    </xf>
    <xf numFmtId="0" fontId="50" fillId="11" borderId="2" xfId="4" applyFont="1" applyFill="1" applyBorder="1" applyAlignment="1">
      <alignment horizontal="center" vertical="center" wrapText="1"/>
    </xf>
    <xf numFmtId="0" fontId="50" fillId="11" borderId="0" xfId="4" applyFont="1" applyFill="1" applyAlignment="1">
      <alignment horizontal="center" vertical="center" wrapText="1"/>
    </xf>
    <xf numFmtId="0" fontId="101" fillId="11" borderId="15" xfId="4" applyFont="1" applyFill="1" applyBorder="1" applyAlignment="1">
      <alignment horizontal="center" vertical="center" wrapText="1"/>
    </xf>
    <xf numFmtId="0" fontId="101" fillId="11" borderId="16" xfId="4" applyFont="1" applyFill="1" applyBorder="1" applyAlignment="1">
      <alignment horizontal="center" vertical="center" wrapText="1"/>
    </xf>
    <xf numFmtId="0" fontId="13" fillId="11" borderId="2" xfId="4" applyFont="1" applyFill="1" applyBorder="1" applyAlignment="1">
      <alignment horizontal="center" vertical="center" wrapText="1"/>
    </xf>
    <xf numFmtId="0" fontId="13" fillId="11" borderId="3" xfId="4" applyFont="1" applyFill="1" applyBorder="1" applyAlignment="1">
      <alignment horizontal="center" vertical="center" wrapText="1"/>
    </xf>
    <xf numFmtId="0" fontId="43" fillId="0" borderId="15" xfId="4" applyFont="1" applyBorder="1" applyAlignment="1">
      <alignment horizontal="center" vertical="center" wrapText="1"/>
    </xf>
    <xf numFmtId="0" fontId="43" fillId="0" borderId="16" xfId="4" applyFont="1" applyBorder="1" applyAlignment="1">
      <alignment horizontal="center" vertical="center"/>
    </xf>
    <xf numFmtId="0" fontId="55" fillId="0" borderId="57" xfId="4" applyFont="1" applyBorder="1" applyAlignment="1" applyProtection="1">
      <alignment horizontal="left" wrapText="1"/>
      <protection locked="0"/>
    </xf>
    <xf numFmtId="0" fontId="55" fillId="0" borderId="58" xfId="4" applyFont="1" applyBorder="1" applyAlignment="1" applyProtection="1">
      <alignment horizontal="left" wrapText="1"/>
      <protection locked="0"/>
    </xf>
    <xf numFmtId="0" fontId="55" fillId="0" borderId="61" xfId="4" applyFont="1" applyBorder="1" applyAlignment="1" applyProtection="1">
      <alignment horizontal="left" wrapText="1"/>
      <protection locked="0"/>
    </xf>
  </cellXfs>
  <cellStyles count="9">
    <cellStyle name="Hyperlink" xfId="8" builtinId="8"/>
    <cellStyle name="Hyperlink 2" xfId="7" xr:uid="{43049FE1-EAF6-4C50-A78C-73EC252B5C6A}"/>
    <cellStyle name="Normal" xfId="0" builtinId="0"/>
    <cellStyle name="Normal 2" xfId="1" xr:uid="{4CB2F39A-C817-4466-A100-C7B3ECFEDC38}"/>
    <cellStyle name="Normal 2 2" xfId="2" xr:uid="{D675F2BE-D72D-4691-8850-77B5000E9B4E}"/>
    <cellStyle name="Normal 2 3" xfId="5" xr:uid="{44B128CA-EA9B-4532-930F-60D5BD39174B}"/>
    <cellStyle name="Normal 2 4" xfId="6" xr:uid="{6CC125BF-2C34-496A-B8FF-FFBC68565B36}"/>
    <cellStyle name="Normal 3" xfId="3" xr:uid="{DF94A058-C952-4FEA-BD7F-05E729D355AE}"/>
    <cellStyle name="Normal 4" xfId="4" xr:uid="{D3C12901-CA0C-4522-9FE9-EEE865B7E49C}"/>
  </cellStyles>
  <dxfs count="86">
    <dxf>
      <fill>
        <patternFill>
          <bgColor theme="9" tint="0.39994506668294322"/>
        </patternFill>
      </fill>
    </dxf>
    <dxf>
      <fill>
        <patternFill>
          <bgColor theme="9" tint="0.39994506668294322"/>
        </patternFill>
      </fill>
    </dxf>
    <dxf>
      <fill>
        <patternFill>
          <bgColor theme="8" tint="0.59996337778862885"/>
        </patternFill>
      </fill>
    </dxf>
    <dxf>
      <fill>
        <patternFill>
          <bgColor theme="5" tint="0.59996337778862885"/>
        </patternFill>
      </fill>
    </dxf>
    <dxf>
      <fill>
        <patternFill>
          <bgColor theme="0"/>
        </patternFill>
      </fill>
    </dxf>
    <dxf>
      <fill>
        <patternFill>
          <bgColor theme="9" tint="0.39994506668294322"/>
        </patternFill>
      </fill>
    </dxf>
    <dxf>
      <fill>
        <patternFill>
          <bgColor theme="9" tint="0.39994506668294322"/>
        </patternFill>
      </fill>
    </dxf>
    <dxf>
      <fill>
        <patternFill>
          <bgColor theme="8" tint="0.59996337778862885"/>
        </patternFill>
      </fill>
    </dxf>
    <dxf>
      <fill>
        <patternFill>
          <bgColor theme="5" tint="0.59996337778862885"/>
        </patternFill>
      </fill>
    </dxf>
    <dxf>
      <fill>
        <patternFill>
          <bgColor theme="0"/>
        </patternFill>
      </fill>
    </dxf>
    <dxf>
      <border>
        <top style="thin">
          <color auto="1"/>
        </top>
        <vertical/>
        <horizontal/>
      </border>
    </dxf>
    <dxf>
      <fill>
        <patternFill>
          <bgColor theme="8" tint="0.59996337778862885"/>
        </patternFill>
      </fill>
    </dxf>
    <dxf>
      <fill>
        <patternFill>
          <bgColor theme="9" tint="0.39994506668294322"/>
        </patternFill>
      </fill>
    </dxf>
    <dxf>
      <border>
        <top style="thin">
          <color auto="1"/>
        </top>
        <vertical/>
        <horizontal/>
      </border>
    </dxf>
    <dxf>
      <fill>
        <patternFill>
          <bgColor theme="8" tint="0.59996337778862885"/>
        </patternFill>
      </fill>
    </dxf>
    <dxf>
      <fill>
        <patternFill>
          <bgColor theme="9" tint="0.39994506668294322"/>
        </patternFill>
      </fill>
    </dxf>
    <dxf>
      <fill>
        <patternFill>
          <bgColor theme="8" tint="0.59996337778862885"/>
        </patternFill>
      </fill>
    </dxf>
    <dxf>
      <fill>
        <patternFill>
          <bgColor theme="9" tint="0.39994506668294322"/>
        </patternFill>
      </fill>
    </dxf>
    <dxf>
      <border>
        <top style="thin">
          <color auto="1"/>
        </top>
        <vertical/>
        <horizontal/>
      </border>
    </dxf>
    <dxf>
      <fill>
        <patternFill>
          <bgColor theme="8" tint="0.59996337778862885"/>
        </patternFill>
      </fill>
    </dxf>
    <dxf>
      <fill>
        <patternFill>
          <bgColor theme="9" tint="0.39994506668294322"/>
        </patternFill>
      </fill>
    </dxf>
    <dxf>
      <border>
        <top style="thin">
          <color auto="1"/>
        </top>
        <vertical/>
        <horizontal/>
      </border>
    </dxf>
    <dxf>
      <fill>
        <patternFill>
          <bgColor theme="8" tint="0.59996337778862885"/>
        </patternFill>
      </fill>
    </dxf>
    <dxf>
      <fill>
        <patternFill>
          <bgColor theme="9" tint="0.39994506668294322"/>
        </patternFill>
      </fill>
    </dxf>
    <dxf>
      <fill>
        <patternFill>
          <bgColor rgb="FFA9D08E"/>
        </patternFill>
      </fill>
    </dxf>
    <dxf>
      <fill>
        <patternFill>
          <bgColor rgb="FFA9D08E"/>
        </patternFill>
      </fill>
    </dxf>
    <dxf>
      <fill>
        <patternFill>
          <bgColor rgb="FFBDD7EE"/>
        </patternFill>
      </fill>
    </dxf>
    <dxf>
      <fill>
        <patternFill>
          <bgColor rgb="FFFBE2D1"/>
        </patternFill>
      </fill>
    </dxf>
    <dxf>
      <fill>
        <patternFill>
          <bgColor rgb="FFA9D08E"/>
        </patternFill>
      </fill>
    </dxf>
    <dxf>
      <fill>
        <patternFill>
          <bgColor rgb="FFA9D08E"/>
        </patternFill>
      </fill>
    </dxf>
    <dxf>
      <fill>
        <patternFill>
          <bgColor rgb="FFBDD7EE"/>
        </patternFill>
      </fill>
    </dxf>
    <dxf>
      <fill>
        <patternFill>
          <bgColor rgb="FFFBE2D1"/>
        </patternFill>
      </fill>
    </dxf>
    <dxf>
      <font>
        <color theme="0"/>
      </font>
    </dxf>
    <dxf>
      <fill>
        <patternFill>
          <bgColor theme="1"/>
        </patternFill>
      </fill>
    </dxf>
    <dxf>
      <border>
        <top/>
        <vertical/>
        <horizontal/>
      </border>
    </dxf>
    <dxf>
      <fill>
        <patternFill>
          <bgColor theme="9" tint="0.59996337778862885"/>
        </patternFill>
      </fill>
    </dxf>
    <dxf>
      <fill>
        <patternFill>
          <bgColor theme="8" tint="0.59996337778862885"/>
        </patternFill>
      </fill>
    </dxf>
    <dxf>
      <font>
        <color theme="0"/>
      </font>
    </dxf>
    <dxf>
      <fill>
        <patternFill>
          <bgColor theme="1"/>
        </patternFill>
      </fill>
    </dxf>
    <dxf>
      <border>
        <top/>
        <vertical/>
        <horizontal/>
      </border>
    </dxf>
    <dxf>
      <fill>
        <patternFill>
          <bgColor theme="9" tint="0.59996337778862885"/>
        </patternFill>
      </fill>
    </dxf>
    <dxf>
      <fill>
        <patternFill>
          <bgColor theme="8" tint="0.59996337778862885"/>
        </patternFill>
      </fill>
    </dxf>
    <dxf>
      <fill>
        <patternFill>
          <bgColor theme="1"/>
        </patternFill>
      </fill>
    </dxf>
    <dxf>
      <font>
        <color theme="0"/>
      </font>
    </dxf>
    <dxf>
      <border>
        <top/>
        <vertical/>
        <horizontal/>
      </border>
    </dxf>
    <dxf>
      <fill>
        <patternFill>
          <bgColor theme="9" tint="0.59996337778862885"/>
        </patternFill>
      </fill>
    </dxf>
    <dxf>
      <fill>
        <patternFill>
          <bgColor theme="8" tint="0.59996337778862885"/>
        </patternFill>
      </fill>
    </dxf>
    <dxf>
      <font>
        <color theme="0"/>
      </font>
    </dxf>
    <dxf>
      <fill>
        <patternFill>
          <bgColor theme="1"/>
        </patternFill>
      </fill>
    </dxf>
    <dxf>
      <border>
        <top/>
        <vertical/>
        <horizontal/>
      </border>
    </dxf>
    <dxf>
      <fill>
        <patternFill>
          <bgColor theme="9" tint="0.59996337778862885"/>
        </patternFill>
      </fill>
    </dxf>
    <dxf>
      <fill>
        <patternFill>
          <bgColor theme="8" tint="0.59996337778862885"/>
        </patternFill>
      </fill>
    </dxf>
    <dxf>
      <font>
        <b/>
        <i val="0"/>
        <color rgb="FFFF0000"/>
      </font>
    </dxf>
    <dxf>
      <fill>
        <patternFill>
          <bgColor rgb="FFA9D08E"/>
        </patternFill>
      </fill>
    </dxf>
    <dxf>
      <fill>
        <patternFill>
          <bgColor rgb="FFA9D08E"/>
        </patternFill>
      </fill>
    </dxf>
    <dxf>
      <fill>
        <patternFill>
          <bgColor rgb="FFBDD7EE"/>
        </patternFill>
      </fill>
    </dxf>
    <dxf>
      <fill>
        <patternFill>
          <bgColor rgb="FFFBE2D1"/>
        </patternFill>
      </fill>
    </dxf>
    <dxf>
      <fill>
        <patternFill>
          <bgColor theme="0"/>
        </patternFill>
      </fill>
    </dxf>
    <dxf>
      <fill>
        <patternFill>
          <bgColor rgb="FFDA9694"/>
        </patternFill>
      </fill>
    </dxf>
    <dxf>
      <fill>
        <patternFill>
          <bgColor theme="1"/>
        </patternFill>
      </fill>
      <border>
        <left style="thin">
          <color theme="0"/>
        </left>
        <right style="thin">
          <color theme="0"/>
        </right>
        <top style="thin">
          <color theme="0"/>
        </top>
        <bottom style="thin">
          <color theme="0"/>
        </bottom>
      </border>
    </dxf>
    <dxf>
      <fill>
        <patternFill>
          <bgColor rgb="FFDA9694"/>
        </patternFill>
      </fill>
    </dxf>
    <dxf>
      <fill>
        <patternFill>
          <bgColor rgb="FFDA9694"/>
        </patternFill>
      </fill>
    </dxf>
    <dxf>
      <fill>
        <patternFill>
          <bgColor theme="9" tint="0.39994506668294322"/>
        </patternFill>
      </fill>
    </dxf>
    <dxf>
      <fill>
        <patternFill>
          <bgColor theme="9" tint="0.39994506668294322"/>
        </patternFill>
      </fill>
    </dxf>
    <dxf>
      <fill>
        <patternFill>
          <bgColor theme="8" tint="0.59996337778862885"/>
        </patternFill>
      </fill>
    </dxf>
    <dxf>
      <fill>
        <patternFill>
          <bgColor rgb="FFFBE2D1"/>
        </patternFill>
      </fill>
    </dxf>
    <dxf>
      <font>
        <color rgb="FF9C5700"/>
      </font>
      <fill>
        <patternFill>
          <bgColor rgb="FFFFEB9C"/>
        </patternFill>
      </fill>
    </dxf>
    <dxf>
      <font>
        <color rgb="FF9C5700"/>
      </font>
      <fill>
        <patternFill>
          <bgColor rgb="FFFFEB9C"/>
        </patternFill>
      </fill>
    </dxf>
    <dxf>
      <fill>
        <patternFill>
          <bgColor theme="0"/>
        </patternFill>
      </fill>
    </dxf>
    <dxf>
      <fill>
        <patternFill>
          <bgColor theme="0"/>
        </patternFill>
      </fill>
    </dxf>
    <dxf>
      <fill>
        <patternFill>
          <bgColor rgb="FFBDD7EE"/>
        </patternFill>
      </fill>
    </dxf>
    <dxf>
      <fill>
        <patternFill>
          <bgColor rgb="FFFBE2D1"/>
        </patternFill>
      </fill>
    </dxf>
    <dxf>
      <fill>
        <patternFill>
          <bgColor theme="9" tint="0.39994506668294322"/>
        </patternFill>
      </fill>
    </dxf>
    <dxf>
      <fill>
        <patternFill>
          <bgColor theme="8" tint="0.59996337778862885"/>
        </patternFill>
      </fill>
    </dxf>
    <dxf>
      <font>
        <color rgb="FF9C0006"/>
      </font>
      <fill>
        <patternFill>
          <bgColor rgb="FFFFC7CE"/>
        </patternFill>
      </fill>
    </dxf>
    <dxf>
      <protection locked="0" hidden="0"/>
    </dxf>
    <dxf>
      <numFmt numFmtId="19" formatCode="m/d/yyyy"/>
      <protection locked="0" hidden="0"/>
    </dxf>
    <dxf>
      <numFmt numFmtId="19" formatCode="m/d/yyyy"/>
      <protection locked="0" hidden="0"/>
    </dxf>
    <dxf>
      <numFmt numFmtId="19" formatCode="m/d/yyyy"/>
    </dxf>
    <dxf>
      <numFmt numFmtId="164" formatCode="0.000"/>
    </dxf>
    <dxf>
      <numFmt numFmtId="0" formatCode="General"/>
    </dxf>
    <dxf>
      <font>
        <color rgb="FF9C0006"/>
      </font>
      <fill>
        <patternFill>
          <bgColor rgb="FFFFC7CE"/>
        </patternFill>
      </fill>
    </dxf>
    <dxf>
      <font>
        <b val="0"/>
        <i val="0"/>
        <strike val="0"/>
        <condense val="0"/>
        <extend val="0"/>
        <outline val="0"/>
        <shadow val="0"/>
        <u val="none"/>
        <vertAlign val="baseline"/>
        <sz val="18"/>
        <color theme="1"/>
        <name val="Calibri"/>
        <family val="2"/>
        <scheme val="minor"/>
      </font>
    </dxf>
    <dxf>
      <font>
        <b val="0"/>
        <i val="0"/>
        <strike val="0"/>
        <condense val="0"/>
        <extend val="0"/>
        <outline val="0"/>
        <shadow val="0"/>
        <u val="none"/>
        <vertAlign val="baseline"/>
        <sz val="18"/>
        <color theme="1"/>
        <name val="Calibri"/>
        <family val="2"/>
        <scheme val="minor"/>
      </font>
    </dxf>
    <dxf>
      <font>
        <b val="0"/>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s>
  <tableStyles count="0" defaultTableStyle="TableStyleMedium2" defaultPivotStyle="PivotStyleLight16"/>
  <colors>
    <mruColors>
      <color rgb="FFFBE2D1"/>
      <color rgb="FFA9D08E"/>
      <color rgb="FFBDD7EE"/>
      <color rgb="FFEAF1FA"/>
      <color rgb="FFE7EFF9"/>
      <color rgb="FFFFFFFF"/>
      <color rgb="FF00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fmlaLink="#REF!" lockText="1" noThreeD="1"/>
</file>

<file path=xl/ctrlProps/ctrlProp2.xml><?xml version="1.0" encoding="utf-8"?>
<formControlPr xmlns="http://schemas.microsoft.com/office/spreadsheetml/2009/9/main" objectType="CheckBox" fmlaLink="#REF!" lockText="1" noThreeD="1"/>
</file>

<file path=xl/ctrlProps/ctrlProp3.xml><?xml version="1.0" encoding="utf-8"?>
<formControlPr xmlns="http://schemas.microsoft.com/office/spreadsheetml/2009/9/main" objectType="CheckBox" fmlaLink="#REF!" lockText="1" noThreeD="1"/>
</file>

<file path=xl/ctrlProps/ctrlProp4.xml><?xml version="1.0" encoding="utf-8"?>
<formControlPr xmlns="http://schemas.microsoft.com/office/spreadsheetml/2009/9/main" objectType="CheckBox" fmlaLink="#REF!" lockText="1" noThreeD="1"/>
</file>

<file path=xl/ctrlProps/ctrlProp5.xml><?xml version="1.0" encoding="utf-8"?>
<formControlPr xmlns="http://schemas.microsoft.com/office/spreadsheetml/2009/9/main" objectType="CheckBox" fmlaLink="#REF!" lockText="1" noThreeD="1"/>
</file>

<file path=xl/ctrlProps/ctrlProp6.xml><?xml version="1.0" encoding="utf-8"?>
<formControlPr xmlns="http://schemas.microsoft.com/office/spreadsheetml/2009/9/main" objectType="CheckBox" fmlaLink="#REF!"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CheckBox" fmlaLink="#REF!" lockText="1" noThreeD="1"/>
</file>

<file path=xl/ctrlProps/ctrlProp9.xml><?xml version="1.0" encoding="utf-8"?>
<formControlPr xmlns="http://schemas.microsoft.com/office/spreadsheetml/2009/9/main" objectType="CheckBox" fmlaLink="#REF!" lockText="1" noThreeD="1"/>
</file>

<file path=xl/ctrlProps/ctrlProp10.xml><?xml version="1.0" encoding="utf-8"?>
<formControlPr xmlns="http://schemas.microsoft.com/office/spreadsheetml/2009/9/main" objectType="CheckBox" fmlaLink="#REF!" lockText="1" noThreeD="1"/>
</file>

<file path=xl/ctrlProps/ctrlProp11.xml><?xml version="1.0" encoding="utf-8"?>
<formControlPr xmlns="http://schemas.microsoft.com/office/spreadsheetml/2009/9/main" objectType="CheckBox" fmlaLink="#REF!" lockText="1" noThreeD="1"/>
</file>

<file path=xl/ctrlProps/ctrlProp12.xml><?xml version="1.0" encoding="utf-8"?>
<formControlPr xmlns="http://schemas.microsoft.com/office/spreadsheetml/2009/9/main" objectType="CheckBox" fmlaLink="#REF!" lockText="1" noThreeD="1"/>
</file>

<file path=xl/ctrlProps/ctrlProp13.xml><?xml version="1.0" encoding="utf-8"?>
<formControlPr xmlns="http://schemas.microsoft.com/office/spreadsheetml/2009/9/main" objectType="CheckBox" fmlaLink="#REF!"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fmlaLink="#REF!" lockText="1" noThreeD="1"/>
</file>

<file path=xl/ctrlProps/ctrlProp17.xml><?xml version="1.0" encoding="utf-8"?>
<formControlPr xmlns="http://schemas.microsoft.com/office/spreadsheetml/2009/9/main" objectType="CheckBox" fmlaLink="#REF!" lockText="1" noThreeD="1"/>
</file>

<file path=xl/ctrlProps/ctrlProp18.xml><?xml version="1.0" encoding="utf-8"?>
<formControlPr xmlns="http://schemas.microsoft.com/office/spreadsheetml/2009/9/main" objectType="CheckBox" fmlaLink="#REF!"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fmlaLink="#REF!" lockText="1" noThreeD="1"/>
</file>

<file path=xl/ctrlProps/ctrlProp21.xml><?xml version="1.0" encoding="utf-8"?>
<formControlPr xmlns="http://schemas.microsoft.com/office/spreadsheetml/2009/9/main" objectType="CheckBox" fmlaLink="#REF!" lockText="1" noThreeD="1"/>
</file>

<file path=xl/ctrlProps/ctrlProp22.xml><?xml version="1.0" encoding="utf-8"?>
<formControlPr xmlns="http://schemas.microsoft.com/office/spreadsheetml/2009/9/main" objectType="CheckBox" fmlaLink="#REF!" lockText="1" noThreeD="1"/>
</file>

<file path=xl/ctrlProps/ctrlProp23.xml><?xml version="1.0" encoding="utf-8"?>
<formControlPr xmlns="http://schemas.microsoft.com/office/spreadsheetml/2009/9/main" objectType="CheckBox" fmlaLink="#REF!" lockText="1" noThreeD="1"/>
</file>

<file path=xl/ctrlProps/ctrlProp24.xml><?xml version="1.0" encoding="utf-8"?>
<formControlPr xmlns="http://schemas.microsoft.com/office/spreadsheetml/2009/9/main" objectType="CheckBox" fmlaLink="#REF!" lockText="1" noThreeD="1"/>
</file>

<file path=xl/ctrlProps/ctrlProp25.xml><?xml version="1.0" encoding="utf-8"?>
<formControlPr xmlns="http://schemas.microsoft.com/office/spreadsheetml/2009/9/main" objectType="CheckBox" fmlaLink="#REF!" lockText="1" noThreeD="1"/>
</file>

<file path=xl/ctrlProps/ctrlProp26.xml><?xml version="1.0" encoding="utf-8"?>
<formControlPr xmlns="http://schemas.microsoft.com/office/spreadsheetml/2009/9/main" objectType="CheckBox" fmlaLink="#REF!" lockText="1" noThreeD="1"/>
</file>

<file path=xl/ctrlProps/ctrlProp27.xml><?xml version="1.0" encoding="utf-8"?>
<formControlPr xmlns="http://schemas.microsoft.com/office/spreadsheetml/2009/9/main" objectType="CheckBox" fmlaLink="#REF!" lockText="1" noThreeD="1"/>
</file>

<file path=xl/ctrlProps/ctrlProp28.xml><?xml version="1.0" encoding="utf-8"?>
<formControlPr xmlns="http://schemas.microsoft.com/office/spreadsheetml/2009/9/main" objectType="CheckBox" fmlaLink="#REF!" lockText="1" noThreeD="1"/>
</file>

<file path=xl/ctrlProps/ctrlProp29.xml><?xml version="1.0" encoding="utf-8"?>
<formControlPr xmlns="http://schemas.microsoft.com/office/spreadsheetml/2009/9/main" objectType="CheckBox" fmlaLink="#REF!" lockText="1" noThreeD="1"/>
</file>

<file path=xl/ctrlProps/ctrlProp30.xml><?xml version="1.0" encoding="utf-8"?>
<formControlPr xmlns="http://schemas.microsoft.com/office/spreadsheetml/2009/9/main" objectType="CheckBox" fmlaLink="#REF!"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REF!" lockText="1" noThreeD="1"/>
</file>

<file path=xl/ctrlProps/ctrlProp33.xml><?xml version="1.0" encoding="utf-8"?>
<formControlPr xmlns="http://schemas.microsoft.com/office/spreadsheetml/2009/9/main" objectType="CheckBox" fmlaLink="#REF!" lockText="1" noThreeD="1"/>
</file>

<file path=xl/ctrlProps/ctrlProp34.xml><?xml version="1.0" encoding="utf-8"?>
<formControlPr xmlns="http://schemas.microsoft.com/office/spreadsheetml/2009/9/main" objectType="CheckBox" fmlaLink="#REF!" lockText="1" noThreeD="1"/>
</file>

<file path=xl/ctrlProps/ctrlProp35.xml><?xml version="1.0" encoding="utf-8"?>
<formControlPr xmlns="http://schemas.microsoft.com/office/spreadsheetml/2009/9/main" objectType="CheckBox" fmlaLink="#REF!" lockText="1" noThreeD="1"/>
</file>

<file path=xl/ctrlProps/ctrlProp36.xml><?xml version="1.0" encoding="utf-8"?>
<formControlPr xmlns="http://schemas.microsoft.com/office/spreadsheetml/2009/9/main" objectType="CheckBox" fmlaLink="#REF!" lockText="1" noThreeD="1"/>
</file>

<file path=xl/ctrlProps/ctrlProp37.xml><?xml version="1.0" encoding="utf-8"?>
<formControlPr xmlns="http://schemas.microsoft.com/office/spreadsheetml/2009/9/main" objectType="CheckBox" fmlaLink="#REF!" lockText="1" noThreeD="1"/>
</file>

<file path=xl/ctrlProps/ctrlProp38.xml><?xml version="1.0" encoding="utf-8"?>
<formControlPr xmlns="http://schemas.microsoft.com/office/spreadsheetml/2009/9/main" objectType="CheckBox" fmlaLink="#REF!" lockText="1" noThreeD="1"/>
</file>

<file path=xl/ctrlProps/ctrlProp39.xml><?xml version="1.0" encoding="utf-8"?>
<formControlPr xmlns="http://schemas.microsoft.com/office/spreadsheetml/2009/9/main" objectType="CheckBox" fmlaLink="#REF!" lockText="1" noThreeD="1"/>
</file>

<file path=xl/ctrlProps/ctrlProp40.xml><?xml version="1.0" encoding="utf-8"?>
<formControlPr xmlns="http://schemas.microsoft.com/office/spreadsheetml/2009/9/main" objectType="CheckBox" fmlaLink="#REF!" lockText="1" noThreeD="1"/>
</file>

<file path=xl/ctrlProps/ctrlProp41.xml><?xml version="1.0" encoding="utf-8"?>
<formControlPr xmlns="http://schemas.microsoft.com/office/spreadsheetml/2009/9/main" objectType="CheckBox" fmlaLink="#REF!" lockText="1" noThreeD="1"/>
</file>

<file path=xl/ctrlProps/ctrlProp42.xml><?xml version="1.0" encoding="utf-8"?>
<formControlPr xmlns="http://schemas.microsoft.com/office/spreadsheetml/2009/9/main" objectType="CheckBox" fmlaLink="#REF!" lockText="1" noThreeD="1"/>
</file>

<file path=xl/ctrlProps/ctrlProp43.xml><?xml version="1.0" encoding="utf-8"?>
<formControlPr xmlns="http://schemas.microsoft.com/office/spreadsheetml/2009/9/main" objectType="CheckBox" fmlaLink="#REF!" lockText="1" noThreeD="1"/>
</file>

<file path=xl/ctrlProps/ctrlProp44.xml><?xml version="1.0" encoding="utf-8"?>
<formControlPr xmlns="http://schemas.microsoft.com/office/spreadsheetml/2009/9/main" objectType="CheckBox" fmlaLink="#REF!" lockText="1" noThreeD="1"/>
</file>

<file path=xl/ctrlProps/ctrlProp45.xml><?xml version="1.0" encoding="utf-8"?>
<formControlPr xmlns="http://schemas.microsoft.com/office/spreadsheetml/2009/9/main" objectType="CheckBox" fmlaLink="#REF!" lockText="1" noThreeD="1"/>
</file>

<file path=xl/ctrlProps/ctrlProp46.xml><?xml version="1.0" encoding="utf-8"?>
<formControlPr xmlns="http://schemas.microsoft.com/office/spreadsheetml/2009/9/main" objectType="CheckBox" fmlaLink="#REF!" lockText="1" noThreeD="1"/>
</file>

<file path=xl/ctrlProps/ctrlProp47.xml><?xml version="1.0" encoding="utf-8"?>
<formControlPr xmlns="http://schemas.microsoft.com/office/spreadsheetml/2009/9/main" objectType="CheckBox" fmlaLink="#REF!" lockText="1" noThreeD="1"/>
</file>

<file path=xl/ctrlProps/ctrlProp48.xml><?xml version="1.0" encoding="utf-8"?>
<formControlPr xmlns="http://schemas.microsoft.com/office/spreadsheetml/2009/9/main" objectType="CheckBox" fmlaLink="#REF!" lockText="1" noThreeD="1"/>
</file>

<file path=xl/ctrlProps/ctrlProp49.xml><?xml version="1.0" encoding="utf-8"?>
<formControlPr xmlns="http://schemas.microsoft.com/office/spreadsheetml/2009/9/main" objectType="CheckBox" fmlaLink="#REF!" lockText="1" noThreeD="1"/>
</file>

<file path=xl/ctrlProps/ctrlProp50.xml><?xml version="1.0" encoding="utf-8"?>
<formControlPr xmlns="http://schemas.microsoft.com/office/spreadsheetml/2009/9/main" objectType="CheckBox" fmlaLink="#REF!" lockText="1"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C$102" lockText="1" noThreeD="1"/>
</file>

<file path=xl/ctrlProps/ctrlProp60.xml><?xml version="1.0" encoding="utf-8"?>
<formControlPr xmlns="http://schemas.microsoft.com/office/spreadsheetml/2009/9/main" objectType="CheckBox" fmlaLink="$C$103" lockText="1" noThreeD="1"/>
</file>

<file path=xl/ctrlProps/ctrlProp61.xml><?xml version="1.0" encoding="utf-8"?>
<formControlPr xmlns="http://schemas.microsoft.com/office/spreadsheetml/2009/9/main" objectType="CheckBox" fmlaLink="$C$104" lockText="1" noThreeD="1"/>
</file>

<file path=xl/ctrlProps/ctrlProp62.xml><?xml version="1.0" encoding="utf-8"?>
<formControlPr xmlns="http://schemas.microsoft.com/office/spreadsheetml/2009/9/main" objectType="CheckBox" fmlaLink="$C$105" lockText="1" noThreeD="1"/>
</file>

<file path=xl/ctrlProps/ctrlProp63.xml><?xml version="1.0" encoding="utf-8"?>
<formControlPr xmlns="http://schemas.microsoft.com/office/spreadsheetml/2009/9/main" objectType="CheckBox" fmlaLink="$C$106" lockText="1" noThreeD="1"/>
</file>

<file path=xl/ctrlProps/ctrlProp64.xml><?xml version="1.0" encoding="utf-8"?>
<formControlPr xmlns="http://schemas.microsoft.com/office/spreadsheetml/2009/9/main" objectType="CheckBox" fmlaLink="$C$107" lockText="1" noThreeD="1"/>
</file>

<file path=xl/ctrlProps/ctrlProp65.xml><?xml version="1.0" encoding="utf-8"?>
<formControlPr xmlns="http://schemas.microsoft.com/office/spreadsheetml/2009/9/main" objectType="CheckBox" fmlaLink="$C$108" lockText="1" noThreeD="1"/>
</file>

<file path=xl/ctrlProps/ctrlProp66.xml><?xml version="1.0" encoding="utf-8"?>
<formControlPr xmlns="http://schemas.microsoft.com/office/spreadsheetml/2009/9/main" objectType="CheckBox" fmlaLink="$C$109" lockText="1" noThreeD="1"/>
</file>

<file path=xl/ctrlProps/ctrlProp67.xml><?xml version="1.0" encoding="utf-8"?>
<formControlPr xmlns="http://schemas.microsoft.com/office/spreadsheetml/2009/9/main" objectType="CheckBox" fmlaLink="$C$110" lockText="1" noThreeD="1"/>
</file>

<file path=xl/ctrlProps/ctrlProp68.xml><?xml version="1.0" encoding="utf-8"?>
<formControlPr xmlns="http://schemas.microsoft.com/office/spreadsheetml/2009/9/main" objectType="CheckBox" fmlaLink="$C$111" lockText="1" noThreeD="1"/>
</file>

<file path=xl/ctrlProps/ctrlProp69.xml><?xml version="1.0" encoding="utf-8"?>
<formControlPr xmlns="http://schemas.microsoft.com/office/spreadsheetml/2009/9/main" objectType="CheckBox" fmlaLink="$C$112" lockText="1" noThreeD="1"/>
</file>

<file path=xl/ctrlProps/ctrlProp70.xml><?xml version="1.0" encoding="utf-8"?>
<formControlPr xmlns="http://schemas.microsoft.com/office/spreadsheetml/2009/9/main" objectType="CheckBox" fmlaLink="$C$113" lockText="1" noThreeD="1"/>
</file>

<file path=xl/ctrlProps/ctrlProp71.xml><?xml version="1.0" encoding="utf-8"?>
<formControlPr xmlns="http://schemas.microsoft.com/office/spreadsheetml/2009/9/main" objectType="CheckBox" fmlaLink="$C$114" lockText="1" noThreeD="1"/>
</file>

<file path=xl/ctrlProps/ctrlProp72.xml><?xml version="1.0" encoding="utf-8"?>
<formControlPr xmlns="http://schemas.microsoft.com/office/spreadsheetml/2009/9/main" objectType="CheckBox" fmlaLink="$C$115" lockText="1" noThreeD="1"/>
</file>

<file path=xl/ctrlProps/ctrlProp73.xml><?xml version="1.0" encoding="utf-8"?>
<formControlPr xmlns="http://schemas.microsoft.com/office/spreadsheetml/2009/9/main" objectType="CheckBox" fmlaLink="$C$116" lockText="1" noThreeD="1"/>
</file>

<file path=xl/ctrlProps/ctrlProp74.xml><?xml version="1.0" encoding="utf-8"?>
<formControlPr xmlns="http://schemas.microsoft.com/office/spreadsheetml/2009/9/main" objectType="CheckBox" fmlaLink="$C$117" lockText="1" noThreeD="1"/>
</file>

<file path=xl/ctrlProps/ctrlProp75.xml><?xml version="1.0" encoding="utf-8"?>
<formControlPr xmlns="http://schemas.microsoft.com/office/spreadsheetml/2009/9/main" objectType="CheckBox" fmlaLink="$C$118" lockText="1" noThreeD="1"/>
</file>

<file path=xl/ctrlProps/ctrlProp76.xml><?xml version="1.0" encoding="utf-8"?>
<formControlPr xmlns="http://schemas.microsoft.com/office/spreadsheetml/2009/9/main" objectType="CheckBox" fmlaLink="$C$119" lockText="1" noThreeD="1"/>
</file>

<file path=xl/ctrlProps/ctrlProp77.xml><?xml version="1.0" encoding="utf-8"?>
<formControlPr xmlns="http://schemas.microsoft.com/office/spreadsheetml/2009/9/main" objectType="CheckBox" fmlaLink="$C$77" lockText="1" noThreeD="1"/>
</file>

<file path=xl/ctrlProps/ctrlProp78.xml><?xml version="1.0" encoding="utf-8"?>
<formControlPr xmlns="http://schemas.microsoft.com/office/spreadsheetml/2009/9/main" objectType="CheckBox" fmlaLink="$C$78" lockText="1" noThreeD="1"/>
</file>

<file path=xl/ctrlProps/ctrlProp79.xml><?xml version="1.0" encoding="utf-8"?>
<formControlPr xmlns="http://schemas.microsoft.com/office/spreadsheetml/2009/9/main" objectType="CheckBox" fmlaLink="$C$79" lockText="1" noThreeD="1"/>
</file>

<file path=xl/ctrlProps/ctrlProp80.xml><?xml version="1.0" encoding="utf-8"?>
<formControlPr xmlns="http://schemas.microsoft.com/office/spreadsheetml/2009/9/main" objectType="CheckBox" fmlaLink="$C$80" lockText="1" noThreeD="1"/>
</file>

<file path=xl/ctrlProps/ctrlProp81.xml><?xml version="1.0" encoding="utf-8"?>
<formControlPr xmlns="http://schemas.microsoft.com/office/spreadsheetml/2009/9/main" objectType="CheckBox" fmlaLink="$C$81" lockText="1" noThreeD="1"/>
</file>

<file path=xl/ctrlProps/ctrlProp82.xml><?xml version="1.0" encoding="utf-8"?>
<formControlPr xmlns="http://schemas.microsoft.com/office/spreadsheetml/2009/9/main" objectType="CheckBox" fmlaLink="$C$82" lockText="1" noThreeD="1"/>
</file>

<file path=xl/ctrlProps/ctrlProp83.xml><?xml version="1.0" encoding="utf-8"?>
<formControlPr xmlns="http://schemas.microsoft.com/office/spreadsheetml/2009/9/main" objectType="CheckBox" fmlaLink="$C$83" lockText="1" noThreeD="1"/>
</file>

<file path=xl/ctrlProps/ctrlProp84.xml><?xml version="1.0" encoding="utf-8"?>
<formControlPr xmlns="http://schemas.microsoft.com/office/spreadsheetml/2009/9/main" objectType="CheckBox" fmlaLink="$C$84" lockText="1" noThreeD="1"/>
</file>

<file path=xl/ctrlProps/ctrlProp85.xml><?xml version="1.0" encoding="utf-8"?>
<formControlPr xmlns="http://schemas.microsoft.com/office/spreadsheetml/2009/9/main" objectType="CheckBox" fmlaLink="$C$85" lockText="1" noThreeD="1"/>
</file>

<file path=xl/ctrlProps/ctrlProp86.xml><?xml version="1.0" encoding="utf-8"?>
<formControlPr xmlns="http://schemas.microsoft.com/office/spreadsheetml/2009/9/main" objectType="CheckBox" fmlaLink="$C$86" lockText="1" noThreeD="1"/>
</file>

<file path=xl/ctrlProps/ctrlProp87.xml><?xml version="1.0" encoding="utf-8"?>
<formControlPr xmlns="http://schemas.microsoft.com/office/spreadsheetml/2009/9/main" objectType="CheckBox" fmlaLink="$C$87" lockText="1" noThreeD="1"/>
</file>

<file path=xl/ctrlProps/ctrlProp88.xml><?xml version="1.0" encoding="utf-8"?>
<formControlPr xmlns="http://schemas.microsoft.com/office/spreadsheetml/2009/9/main" objectType="CheckBox" fmlaLink="$C$88" lockText="1" noThreeD="1"/>
</file>

<file path=xl/ctrlProps/ctrlProp89.xml><?xml version="1.0" encoding="utf-8"?>
<formControlPr xmlns="http://schemas.microsoft.com/office/spreadsheetml/2009/9/main" objectType="CheckBox" fmlaLink="$C$89" lockText="1" noThreeD="1"/>
</file>

<file path=xl/ctrlProps/ctrlProp90.xml><?xml version="1.0" encoding="utf-8"?>
<formControlPr xmlns="http://schemas.microsoft.com/office/spreadsheetml/2009/9/main" objectType="CheckBox" fmlaLink="$C$90" lockText="1" noThreeD="1"/>
</file>

<file path=xl/ctrlProps/ctrlProp91.xml><?xml version="1.0" encoding="utf-8"?>
<formControlPr xmlns="http://schemas.microsoft.com/office/spreadsheetml/2009/9/main" objectType="CheckBox" fmlaLink="$C$91" lockText="1" noThreeD="1"/>
</file>

<file path=xl/ctrlProps/ctrlProp92.xml><?xml version="1.0" encoding="utf-8"?>
<formControlPr xmlns="http://schemas.microsoft.com/office/spreadsheetml/2009/9/main" objectType="CheckBox" fmlaLink="$C$92" lockText="1" noThreeD="1"/>
</file>

<file path=xl/ctrlProps/ctrlProp93.xml><?xml version="1.0" encoding="utf-8"?>
<formControlPr xmlns="http://schemas.microsoft.com/office/spreadsheetml/2009/9/main" objectType="CheckBox" checked="Checked" fmlaLink="$C$93" lockText="1" noThreeD="1"/>
</file>

<file path=xl/ctrlProps/ctrlProp94.xml><?xml version="1.0" encoding="utf-8"?>
<formControlPr xmlns="http://schemas.microsoft.com/office/spreadsheetml/2009/9/main" objectType="CheckBox" fmlaLink="$M$77" lockText="1" noThreeD="1"/>
</file>

<file path=xl/ctrlProps/ctrlProp95.xml><?xml version="1.0" encoding="utf-8"?>
<formControlPr xmlns="http://schemas.microsoft.com/office/spreadsheetml/2009/9/main" objectType="CheckBox" fmlaLink="$M$78" lockText="1" noThreeD="1"/>
</file>

<file path=xl/ctrlProps/ctrlProp96.xml><?xml version="1.0" encoding="utf-8"?>
<formControlPr xmlns="http://schemas.microsoft.com/office/spreadsheetml/2009/9/main" objectType="CheckBox" fmlaLink="$M$79" lockText="1" noThreeD="1"/>
</file>

<file path=xl/ctrlProps/ctrlProp97.xml><?xml version="1.0" encoding="utf-8"?>
<formControlPr xmlns="http://schemas.microsoft.com/office/spreadsheetml/2009/9/main" objectType="CheckBox" fmlaLink="$M$80" lockText="1" noThreeD="1"/>
</file>

<file path=xl/ctrlProps/ctrlProp98.xml><?xml version="1.0" encoding="utf-8"?>
<formControlPr xmlns="http://schemas.microsoft.com/office/spreadsheetml/2009/9/main" objectType="CheckBox" fmlaLink="$M$81" lockText="1" noThreeD="1"/>
</file>

<file path=xl/ctrlProps/ctrlProp99.xml><?xml version="1.0" encoding="utf-8"?>
<formControlPr xmlns="http://schemas.microsoft.com/office/spreadsheetml/2009/9/main" objectType="CheckBox" fmlaLink="$M$82" lockText="1" noThreeD="1"/>
</file>

<file path=xl/ctrlProps/ctrlProp100.xml><?xml version="1.0" encoding="utf-8"?>
<formControlPr xmlns="http://schemas.microsoft.com/office/spreadsheetml/2009/9/main" objectType="CheckBox" fmlaLink="$M$83" lockText="1" noThreeD="1"/>
</file>

<file path=xl/ctrlProps/ctrlProp101.xml><?xml version="1.0" encoding="utf-8"?>
<formControlPr xmlns="http://schemas.microsoft.com/office/spreadsheetml/2009/9/main" objectType="CheckBox" fmlaLink="$M$84" lockText="1" noThreeD="1"/>
</file>

<file path=xl/ctrlProps/ctrlProp102.xml><?xml version="1.0" encoding="utf-8"?>
<formControlPr xmlns="http://schemas.microsoft.com/office/spreadsheetml/2009/9/main" objectType="CheckBox" fmlaLink="$M$85" lockText="1" noThreeD="1"/>
</file>

<file path=xl/ctrlProps/ctrlProp103.xml><?xml version="1.0" encoding="utf-8"?>
<formControlPr xmlns="http://schemas.microsoft.com/office/spreadsheetml/2009/9/main" objectType="CheckBox" fmlaLink="$M$86" lockText="1" noThreeD="1"/>
</file>

<file path=xl/ctrlProps/ctrlProp104.xml><?xml version="1.0" encoding="utf-8"?>
<formControlPr xmlns="http://schemas.microsoft.com/office/spreadsheetml/2009/9/main" objectType="CheckBox" fmlaLink="$M$87" lockText="1" noThreeD="1"/>
</file>

<file path=xl/ctrlProps/ctrlProp105.xml><?xml version="1.0" encoding="utf-8"?>
<formControlPr xmlns="http://schemas.microsoft.com/office/spreadsheetml/2009/9/main" objectType="CheckBox" fmlaLink="$M$88" lockText="1" noThreeD="1"/>
</file>

<file path=xl/ctrlProps/ctrlProp106.xml><?xml version="1.0" encoding="utf-8"?>
<formControlPr xmlns="http://schemas.microsoft.com/office/spreadsheetml/2009/9/main" objectType="CheckBox" fmlaLink="$M$89" lockText="1" noThreeD="1"/>
</file>

<file path=xl/ctrlProps/ctrlProp107.xml><?xml version="1.0" encoding="utf-8"?>
<formControlPr xmlns="http://schemas.microsoft.com/office/spreadsheetml/2009/9/main" objectType="CheckBox" fmlaLink="$M$90" lockText="1" noThreeD="1"/>
</file>

<file path=xl/ctrlProps/ctrlProp108.xml><?xml version="1.0" encoding="utf-8"?>
<formControlPr xmlns="http://schemas.microsoft.com/office/spreadsheetml/2009/9/main" objectType="CheckBox" fmlaLink="$M$91" lockText="1" noThreeD="1"/>
</file>

<file path=xl/ctrlProps/ctrlProp109.xml><?xml version="1.0" encoding="utf-8"?>
<formControlPr xmlns="http://schemas.microsoft.com/office/spreadsheetml/2009/9/main" objectType="CheckBox" fmlaLink="$M$92" lockText="1" noThreeD="1"/>
</file>

<file path=xl/ctrlProps/ctrlProp110.xml><?xml version="1.0" encoding="utf-8"?>
<formControlPr xmlns="http://schemas.microsoft.com/office/spreadsheetml/2009/9/main" objectType="CheckBox" fmlaLink="$M$93" lockText="1" noThreeD="1"/>
</file>

<file path=xl/ctrlProps/ctrlProp111.xml><?xml version="1.0" encoding="utf-8"?>
<formControlPr xmlns="http://schemas.microsoft.com/office/spreadsheetml/2009/9/main" objectType="CheckBox" fmlaLink="$M$94" lockText="1" noThreeD="1"/>
</file>

<file path=xl/ctrlProps/ctrlProp112.xml><?xml version="1.0" encoding="utf-8"?>
<formControlPr xmlns="http://schemas.microsoft.com/office/spreadsheetml/2009/9/main" objectType="CheckBox" fmlaLink="$M$95" lockText="1" noThreeD="1"/>
</file>

<file path=xl/ctrlProps/ctrlProp113.xml><?xml version="1.0" encoding="utf-8"?>
<formControlPr xmlns="http://schemas.microsoft.com/office/spreadsheetml/2009/9/main" objectType="CheckBox" fmlaLink="$M$96" lockText="1" noThreeD="1"/>
</file>

<file path=xl/ctrlProps/ctrlProp114.xml><?xml version="1.0" encoding="utf-8"?>
<formControlPr xmlns="http://schemas.microsoft.com/office/spreadsheetml/2009/9/main" objectType="CheckBox" checked="Checked" fmlaLink="$M$102" lockText="1" noThreeD="1"/>
</file>

<file path=xl/ctrlProps/ctrlProp115.xml><?xml version="1.0" encoding="utf-8"?>
<formControlPr xmlns="http://schemas.microsoft.com/office/spreadsheetml/2009/9/main" objectType="CheckBox" checked="Checked" fmlaLink="$M$103" lockText="1" noThreeD="1"/>
</file>

<file path=xl/ctrlProps/ctrlProp116.xml><?xml version="1.0" encoding="utf-8"?>
<formControlPr xmlns="http://schemas.microsoft.com/office/spreadsheetml/2009/9/main" objectType="CheckBox" fmlaLink="$M$104" lockText="1" noThreeD="1"/>
</file>

<file path=xl/ctrlProps/ctrlProp117.xml><?xml version="1.0" encoding="utf-8"?>
<formControlPr xmlns="http://schemas.microsoft.com/office/spreadsheetml/2009/9/main" objectType="CheckBox" fmlaLink="$M$105" lockText="1" noThreeD="1"/>
</file>

<file path=xl/ctrlProps/ctrlProp118.xml><?xml version="1.0" encoding="utf-8"?>
<formControlPr xmlns="http://schemas.microsoft.com/office/spreadsheetml/2009/9/main" objectType="CheckBox" fmlaLink="$M$106" lockText="1" noThreeD="1"/>
</file>

<file path=xl/ctrlProps/ctrlProp119.xml><?xml version="1.0" encoding="utf-8"?>
<formControlPr xmlns="http://schemas.microsoft.com/office/spreadsheetml/2009/9/main" objectType="CheckBox" fmlaLink="$M$107" lockText="1" noThreeD="1"/>
</file>

<file path=xl/ctrlProps/ctrlProp120.xml><?xml version="1.0" encoding="utf-8"?>
<formControlPr xmlns="http://schemas.microsoft.com/office/spreadsheetml/2009/9/main" objectType="CheckBox" checked="Checked" fmlaLink="$M$108" lockText="1" noThreeD="1"/>
</file>

<file path=xl/ctrlProps/ctrlProp121.xml><?xml version="1.0" encoding="utf-8"?>
<formControlPr xmlns="http://schemas.microsoft.com/office/spreadsheetml/2009/9/main" objectType="CheckBox" fmlaLink="$M$109" lockText="1" noThreeD="1"/>
</file>

<file path=xl/ctrlProps/ctrlProp122.xml><?xml version="1.0" encoding="utf-8"?>
<formControlPr xmlns="http://schemas.microsoft.com/office/spreadsheetml/2009/9/main" objectType="CheckBox" fmlaLink="$M$110" lockText="1" noThreeD="1"/>
</file>

<file path=xl/ctrlProps/ctrlProp123.xml><?xml version="1.0" encoding="utf-8"?>
<formControlPr xmlns="http://schemas.microsoft.com/office/spreadsheetml/2009/9/main" objectType="CheckBox" fmlaLink="$M$111" lockText="1" noThreeD="1"/>
</file>

<file path=xl/ctrlProps/ctrlProp124.xml><?xml version="1.0" encoding="utf-8"?>
<formControlPr xmlns="http://schemas.microsoft.com/office/spreadsheetml/2009/9/main" objectType="CheckBox" fmlaLink="$M$112" lockText="1" noThreeD="1"/>
</file>

<file path=xl/ctrlProps/ctrlProp125.xml><?xml version="1.0" encoding="utf-8"?>
<formControlPr xmlns="http://schemas.microsoft.com/office/spreadsheetml/2009/9/main" objectType="CheckBox" fmlaLink="$M$113" lockText="1" noThreeD="1"/>
</file>

<file path=xl/ctrlProps/ctrlProp126.xml><?xml version="1.0" encoding="utf-8"?>
<formControlPr xmlns="http://schemas.microsoft.com/office/spreadsheetml/2009/9/main" objectType="CheckBox" fmlaLink="$M$77" lockText="1" noThreeD="1"/>
</file>

<file path=xl/ctrlProps/ctrlProp127.xml><?xml version="1.0" encoding="utf-8"?>
<formControlPr xmlns="http://schemas.microsoft.com/office/spreadsheetml/2009/9/main" objectType="CheckBox" fmlaLink="$M$78" lockText="1" noThreeD="1"/>
</file>

<file path=xl/ctrlProps/ctrlProp128.xml><?xml version="1.0" encoding="utf-8"?>
<formControlPr xmlns="http://schemas.microsoft.com/office/spreadsheetml/2009/9/main" objectType="CheckBox" fmlaLink="$M$79" lockText="1" noThreeD="1"/>
</file>

<file path=xl/ctrlProps/ctrlProp129.xml><?xml version="1.0" encoding="utf-8"?>
<formControlPr xmlns="http://schemas.microsoft.com/office/spreadsheetml/2009/9/main" objectType="CheckBox" fmlaLink="$M$80" lockText="1" noThreeD="1"/>
</file>

<file path=xl/ctrlProps/ctrlProp130.xml><?xml version="1.0" encoding="utf-8"?>
<formControlPr xmlns="http://schemas.microsoft.com/office/spreadsheetml/2009/9/main" objectType="CheckBox" fmlaLink="$M$81" lockText="1" noThreeD="1"/>
</file>

<file path=xl/ctrlProps/ctrlProp131.xml><?xml version="1.0" encoding="utf-8"?>
<formControlPr xmlns="http://schemas.microsoft.com/office/spreadsheetml/2009/9/main" objectType="CheckBox" fmlaLink="$M$82" lockText="1" noThreeD="1"/>
</file>

<file path=xl/ctrlProps/ctrlProp132.xml><?xml version="1.0" encoding="utf-8"?>
<formControlPr xmlns="http://schemas.microsoft.com/office/spreadsheetml/2009/9/main" objectType="CheckBox" fmlaLink="$M$83" lockText="1" noThreeD="1"/>
</file>

<file path=xl/ctrlProps/ctrlProp133.xml><?xml version="1.0" encoding="utf-8"?>
<formControlPr xmlns="http://schemas.microsoft.com/office/spreadsheetml/2009/9/main" objectType="CheckBox" fmlaLink="$M$84" lockText="1" noThreeD="1"/>
</file>

<file path=xl/ctrlProps/ctrlProp134.xml><?xml version="1.0" encoding="utf-8"?>
<formControlPr xmlns="http://schemas.microsoft.com/office/spreadsheetml/2009/9/main" objectType="CheckBox" fmlaLink="$M$85" lockText="1" noThreeD="1"/>
</file>

<file path=xl/ctrlProps/ctrlProp135.xml><?xml version="1.0" encoding="utf-8"?>
<formControlPr xmlns="http://schemas.microsoft.com/office/spreadsheetml/2009/9/main" objectType="CheckBox" fmlaLink="$M$88" lockText="1" noThreeD="1"/>
</file>

<file path=xl/ctrlProps/ctrlProp136.xml><?xml version="1.0" encoding="utf-8"?>
<formControlPr xmlns="http://schemas.microsoft.com/office/spreadsheetml/2009/9/main" objectType="CheckBox" fmlaLink="$M$89" lockText="1" noThreeD="1"/>
</file>

<file path=xl/ctrlProps/ctrlProp137.xml><?xml version="1.0" encoding="utf-8"?>
<formControlPr xmlns="http://schemas.microsoft.com/office/spreadsheetml/2009/9/main" objectType="CheckBox" fmlaLink="$M$90" lockText="1" noThreeD="1"/>
</file>

<file path=xl/ctrlProps/ctrlProp138.xml><?xml version="1.0" encoding="utf-8"?>
<formControlPr xmlns="http://schemas.microsoft.com/office/spreadsheetml/2009/9/main" objectType="CheckBox" fmlaLink="$M$91" lockText="1" noThreeD="1"/>
</file>

<file path=xl/ctrlProps/ctrlProp139.xml><?xml version="1.0" encoding="utf-8"?>
<formControlPr xmlns="http://schemas.microsoft.com/office/spreadsheetml/2009/9/main" objectType="CheckBox" fmlaLink="$M$92" lockText="1" noThreeD="1"/>
</file>

<file path=xl/ctrlProps/ctrlProp140.xml><?xml version="1.0" encoding="utf-8"?>
<formControlPr xmlns="http://schemas.microsoft.com/office/spreadsheetml/2009/9/main" objectType="CheckBox" fmlaLink="$M$93" lockText="1" noThreeD="1"/>
</file>

<file path=xl/ctrlProps/ctrlProp141.xml><?xml version="1.0" encoding="utf-8"?>
<formControlPr xmlns="http://schemas.microsoft.com/office/spreadsheetml/2009/9/main" objectType="CheckBox" fmlaLink="$M$94" lockText="1" noThreeD="1"/>
</file>

<file path=xl/ctrlProps/ctrlProp142.xml><?xml version="1.0" encoding="utf-8"?>
<formControlPr xmlns="http://schemas.microsoft.com/office/spreadsheetml/2009/9/main" objectType="CheckBox" fmlaLink="$M$95" lockText="1" noThreeD="1"/>
</file>

<file path=xl/ctrlProps/ctrlProp143.xml><?xml version="1.0" encoding="utf-8"?>
<formControlPr xmlns="http://schemas.microsoft.com/office/spreadsheetml/2009/9/main" objectType="CheckBox" checked="Checked" fmlaLink="$M$102" lockText="1" noThreeD="1"/>
</file>

<file path=xl/ctrlProps/ctrlProp144.xml><?xml version="1.0" encoding="utf-8"?>
<formControlPr xmlns="http://schemas.microsoft.com/office/spreadsheetml/2009/9/main" objectType="CheckBox" checked="Checked" fmlaLink="$M$103" lockText="1" noThreeD="1"/>
</file>

<file path=xl/ctrlProps/ctrlProp145.xml><?xml version="1.0" encoding="utf-8"?>
<formControlPr xmlns="http://schemas.microsoft.com/office/spreadsheetml/2009/9/main" objectType="CheckBox" fmlaLink="$M$104" lockText="1" noThreeD="1"/>
</file>

<file path=xl/ctrlProps/ctrlProp146.xml><?xml version="1.0" encoding="utf-8"?>
<formControlPr xmlns="http://schemas.microsoft.com/office/spreadsheetml/2009/9/main" objectType="CheckBox" fmlaLink="$M$105" lockText="1" noThreeD="1"/>
</file>

<file path=xl/ctrlProps/ctrlProp147.xml><?xml version="1.0" encoding="utf-8"?>
<formControlPr xmlns="http://schemas.microsoft.com/office/spreadsheetml/2009/9/main" objectType="CheckBox" fmlaLink="$M$106" lockText="1" noThreeD="1"/>
</file>

<file path=xl/ctrlProps/ctrlProp148.xml><?xml version="1.0" encoding="utf-8"?>
<formControlPr xmlns="http://schemas.microsoft.com/office/spreadsheetml/2009/9/main" objectType="CheckBox" fmlaLink="$M$107" lockText="1" noThreeD="1"/>
</file>

<file path=xl/ctrlProps/ctrlProp149.xml><?xml version="1.0" encoding="utf-8"?>
<formControlPr xmlns="http://schemas.microsoft.com/office/spreadsheetml/2009/9/main" objectType="CheckBox" fmlaLink="$M$86" lockText="1" noThreeD="1"/>
</file>

<file path=xl/ctrlProps/ctrlProp150.xml><?xml version="1.0" encoding="utf-8"?>
<formControlPr xmlns="http://schemas.microsoft.com/office/spreadsheetml/2009/9/main" objectType="CheckBox" fmlaLink="$M$87" lockText="1" noThreeD="1"/>
</file>

<file path=xl/ctrlProps/ctrlProp151.xml><?xml version="1.0" encoding="utf-8"?>
<formControlPr xmlns="http://schemas.microsoft.com/office/spreadsheetml/2009/9/main" objectType="CheckBox" checked="Checked" fmlaLink="$M$108" lockText="1" noThreeD="1"/>
</file>

<file path=xl/ctrlProps/ctrlProp152.xml><?xml version="1.0" encoding="utf-8"?>
<formControlPr xmlns="http://schemas.microsoft.com/office/spreadsheetml/2009/9/main" objectType="CheckBox" fmlaLink="$M$109" lockText="1" noThreeD="1"/>
</file>

<file path=xl/ctrlProps/ctrlProp153.xml><?xml version="1.0" encoding="utf-8"?>
<formControlPr xmlns="http://schemas.microsoft.com/office/spreadsheetml/2009/9/main" objectType="CheckBox" fmlaLink="$M$110" lockText="1" noThreeD="1"/>
</file>

<file path=xl/ctrlProps/ctrlProp154.xml><?xml version="1.0" encoding="utf-8"?>
<formControlPr xmlns="http://schemas.microsoft.com/office/spreadsheetml/2009/9/main" objectType="CheckBox" fmlaLink="$M$111" lockText="1" noThreeD="1"/>
</file>

<file path=xl/ctrlProps/ctrlProp155.xml><?xml version="1.0" encoding="utf-8"?>
<formControlPr xmlns="http://schemas.microsoft.com/office/spreadsheetml/2009/9/main" objectType="CheckBox" fmlaLink="$M$112" lockText="1" noThreeD="1"/>
</file>

<file path=xl/ctrlProps/ctrlProp156.xml><?xml version="1.0" encoding="utf-8"?>
<formControlPr xmlns="http://schemas.microsoft.com/office/spreadsheetml/2009/9/main" objectType="CheckBox" fmlaLink="$M$113" lockText="1" noThreeD="1"/>
</file>

<file path=xl/ctrlProps/ctrlProp157.xml><?xml version="1.0" encoding="utf-8"?>
<formControlPr xmlns="http://schemas.microsoft.com/office/spreadsheetml/2009/9/main" objectType="CheckBox" fmlaLink="$M$96" lockText="1" noThreeD="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25" name="elembox_01" hidden="1">
              <a:extLst>
                <a:ext uri="{63B3BB69-23CF-44E3-9099-C40C66FF867C}">
                  <a14:compatExt spid="_x0000_s26625"/>
                </a:ext>
                <a:ext uri="{FF2B5EF4-FFF2-40B4-BE49-F238E27FC236}">
                  <a16:creationId xmlns:a16="http://schemas.microsoft.com/office/drawing/2014/main" id="{00000000-0008-0000-0500-000001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26" name="elembox_02" hidden="1">
              <a:extLst>
                <a:ext uri="{63B3BB69-23CF-44E3-9099-C40C66FF867C}">
                  <a14:compatExt spid="_x0000_s26626"/>
                </a:ext>
                <a:ext uri="{FF2B5EF4-FFF2-40B4-BE49-F238E27FC236}">
                  <a16:creationId xmlns:a16="http://schemas.microsoft.com/office/drawing/2014/main" id="{00000000-0008-0000-0500-000002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27" name="elembox_03" hidden="1">
              <a:extLst>
                <a:ext uri="{63B3BB69-23CF-44E3-9099-C40C66FF867C}">
                  <a14:compatExt spid="_x0000_s26627"/>
                </a:ext>
                <a:ext uri="{FF2B5EF4-FFF2-40B4-BE49-F238E27FC236}">
                  <a16:creationId xmlns:a16="http://schemas.microsoft.com/office/drawing/2014/main" id="{00000000-0008-0000-0500-000003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28" name="elembox_04" hidden="1">
              <a:extLst>
                <a:ext uri="{63B3BB69-23CF-44E3-9099-C40C66FF867C}">
                  <a14:compatExt spid="_x0000_s26628"/>
                </a:ext>
                <a:ext uri="{FF2B5EF4-FFF2-40B4-BE49-F238E27FC236}">
                  <a16:creationId xmlns:a16="http://schemas.microsoft.com/office/drawing/2014/main" id="{00000000-0008-0000-0500-000004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29" name="elembox_05" hidden="1">
              <a:extLst>
                <a:ext uri="{63B3BB69-23CF-44E3-9099-C40C66FF867C}">
                  <a14:compatExt spid="_x0000_s26629"/>
                </a:ext>
                <a:ext uri="{FF2B5EF4-FFF2-40B4-BE49-F238E27FC236}">
                  <a16:creationId xmlns:a16="http://schemas.microsoft.com/office/drawing/2014/main" id="{00000000-0008-0000-0500-000005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0" name="elembox_06" hidden="1">
              <a:extLst>
                <a:ext uri="{63B3BB69-23CF-44E3-9099-C40C66FF867C}">
                  <a14:compatExt spid="_x0000_s26630"/>
                </a:ext>
                <a:ext uri="{FF2B5EF4-FFF2-40B4-BE49-F238E27FC236}">
                  <a16:creationId xmlns:a16="http://schemas.microsoft.com/office/drawing/2014/main" id="{00000000-0008-0000-0500-000006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1" name="elembox_07" hidden="1">
              <a:extLst>
                <a:ext uri="{63B3BB69-23CF-44E3-9099-C40C66FF867C}">
                  <a14:compatExt spid="_x0000_s26631"/>
                </a:ext>
                <a:ext uri="{FF2B5EF4-FFF2-40B4-BE49-F238E27FC236}">
                  <a16:creationId xmlns:a16="http://schemas.microsoft.com/office/drawing/2014/main" id="{00000000-0008-0000-0500-000007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2" name="elembox_08" hidden="1">
              <a:extLst>
                <a:ext uri="{63B3BB69-23CF-44E3-9099-C40C66FF867C}">
                  <a14:compatExt spid="_x0000_s26632"/>
                </a:ext>
                <a:ext uri="{FF2B5EF4-FFF2-40B4-BE49-F238E27FC236}">
                  <a16:creationId xmlns:a16="http://schemas.microsoft.com/office/drawing/2014/main" id="{00000000-0008-0000-0500-000008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3" name="elembox_09" hidden="1">
              <a:extLst>
                <a:ext uri="{63B3BB69-23CF-44E3-9099-C40C66FF867C}">
                  <a14:compatExt spid="_x0000_s26633"/>
                </a:ext>
                <a:ext uri="{FF2B5EF4-FFF2-40B4-BE49-F238E27FC236}">
                  <a16:creationId xmlns:a16="http://schemas.microsoft.com/office/drawing/2014/main" id="{00000000-0008-0000-0500-000009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34" name="jhsbox_01" hidden="1">
              <a:extLst>
                <a:ext uri="{63B3BB69-23CF-44E3-9099-C40C66FF867C}">
                  <a14:compatExt spid="_x0000_s26634"/>
                </a:ext>
                <a:ext uri="{FF2B5EF4-FFF2-40B4-BE49-F238E27FC236}">
                  <a16:creationId xmlns:a16="http://schemas.microsoft.com/office/drawing/2014/main" id="{00000000-0008-0000-0500-00000A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35" name="jhsbox_02" hidden="1">
              <a:extLst>
                <a:ext uri="{63B3BB69-23CF-44E3-9099-C40C66FF867C}">
                  <a14:compatExt spid="_x0000_s26635"/>
                </a:ext>
                <a:ext uri="{FF2B5EF4-FFF2-40B4-BE49-F238E27FC236}">
                  <a16:creationId xmlns:a16="http://schemas.microsoft.com/office/drawing/2014/main" id="{00000000-0008-0000-0500-00000B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36" name="jhsbox_03" hidden="1">
              <a:extLst>
                <a:ext uri="{63B3BB69-23CF-44E3-9099-C40C66FF867C}">
                  <a14:compatExt spid="_x0000_s26636"/>
                </a:ext>
                <a:ext uri="{FF2B5EF4-FFF2-40B4-BE49-F238E27FC236}">
                  <a16:creationId xmlns:a16="http://schemas.microsoft.com/office/drawing/2014/main" id="{00000000-0008-0000-0500-00000C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7" name="jhsbox_04" hidden="1">
              <a:extLst>
                <a:ext uri="{63B3BB69-23CF-44E3-9099-C40C66FF867C}">
                  <a14:compatExt spid="_x0000_s26637"/>
                </a:ext>
                <a:ext uri="{FF2B5EF4-FFF2-40B4-BE49-F238E27FC236}">
                  <a16:creationId xmlns:a16="http://schemas.microsoft.com/office/drawing/2014/main" id="{00000000-0008-0000-0500-00000D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8" name="jhsbox_05" hidden="1">
              <a:extLst>
                <a:ext uri="{63B3BB69-23CF-44E3-9099-C40C66FF867C}">
                  <a14:compatExt spid="_x0000_s26638"/>
                </a:ext>
                <a:ext uri="{FF2B5EF4-FFF2-40B4-BE49-F238E27FC236}">
                  <a16:creationId xmlns:a16="http://schemas.microsoft.com/office/drawing/2014/main" id="{00000000-0008-0000-0500-00000E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39" name="jhsbox_06" hidden="1">
              <a:extLst>
                <a:ext uri="{63B3BB69-23CF-44E3-9099-C40C66FF867C}">
                  <a14:compatExt spid="_x0000_s26639"/>
                </a:ext>
                <a:ext uri="{FF2B5EF4-FFF2-40B4-BE49-F238E27FC236}">
                  <a16:creationId xmlns:a16="http://schemas.microsoft.com/office/drawing/2014/main" id="{00000000-0008-0000-0500-00000F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0" name="shsbox_01" hidden="1">
              <a:extLst>
                <a:ext uri="{63B3BB69-23CF-44E3-9099-C40C66FF867C}">
                  <a14:compatExt spid="_x0000_s26640"/>
                </a:ext>
                <a:ext uri="{FF2B5EF4-FFF2-40B4-BE49-F238E27FC236}">
                  <a16:creationId xmlns:a16="http://schemas.microsoft.com/office/drawing/2014/main" id="{00000000-0008-0000-0500-000010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1" name="shsbox_02" hidden="1">
              <a:extLst>
                <a:ext uri="{63B3BB69-23CF-44E3-9099-C40C66FF867C}">
                  <a14:compatExt spid="_x0000_s26641"/>
                </a:ext>
                <a:ext uri="{FF2B5EF4-FFF2-40B4-BE49-F238E27FC236}">
                  <a16:creationId xmlns:a16="http://schemas.microsoft.com/office/drawing/2014/main" id="{00000000-0008-0000-0500-000011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42" name="shsbox_03" hidden="1">
              <a:extLst>
                <a:ext uri="{63B3BB69-23CF-44E3-9099-C40C66FF867C}">
                  <a14:compatExt spid="_x0000_s26642"/>
                </a:ext>
                <a:ext uri="{FF2B5EF4-FFF2-40B4-BE49-F238E27FC236}">
                  <a16:creationId xmlns:a16="http://schemas.microsoft.com/office/drawing/2014/main" id="{00000000-0008-0000-0500-000012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3" name="subjectsbox_01" hidden="1">
              <a:extLst>
                <a:ext uri="{63B3BB69-23CF-44E3-9099-C40C66FF867C}">
                  <a14:compatExt spid="_x0000_s26643"/>
                </a:ext>
                <a:ext uri="{FF2B5EF4-FFF2-40B4-BE49-F238E27FC236}">
                  <a16:creationId xmlns:a16="http://schemas.microsoft.com/office/drawing/2014/main" id="{00000000-0008-0000-0500-000013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4" name="subjectsbox_02" hidden="1">
              <a:extLst>
                <a:ext uri="{63B3BB69-23CF-44E3-9099-C40C66FF867C}">
                  <a14:compatExt spid="_x0000_s26644"/>
                </a:ext>
                <a:ext uri="{FF2B5EF4-FFF2-40B4-BE49-F238E27FC236}">
                  <a16:creationId xmlns:a16="http://schemas.microsoft.com/office/drawing/2014/main" id="{00000000-0008-0000-0500-000014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5" name="subjectsbox_03" hidden="1">
              <a:extLst>
                <a:ext uri="{63B3BB69-23CF-44E3-9099-C40C66FF867C}">
                  <a14:compatExt spid="_x0000_s26645"/>
                </a:ext>
                <a:ext uri="{FF2B5EF4-FFF2-40B4-BE49-F238E27FC236}">
                  <a16:creationId xmlns:a16="http://schemas.microsoft.com/office/drawing/2014/main" id="{00000000-0008-0000-0500-000015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6" name="subjectsbox_04" hidden="1">
              <a:extLst>
                <a:ext uri="{63B3BB69-23CF-44E3-9099-C40C66FF867C}">
                  <a14:compatExt spid="_x0000_s26646"/>
                </a:ext>
                <a:ext uri="{FF2B5EF4-FFF2-40B4-BE49-F238E27FC236}">
                  <a16:creationId xmlns:a16="http://schemas.microsoft.com/office/drawing/2014/main" id="{00000000-0008-0000-0500-000016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7" name="subjectsbox_05" hidden="1">
              <a:extLst>
                <a:ext uri="{63B3BB69-23CF-44E3-9099-C40C66FF867C}">
                  <a14:compatExt spid="_x0000_s26647"/>
                </a:ext>
                <a:ext uri="{FF2B5EF4-FFF2-40B4-BE49-F238E27FC236}">
                  <a16:creationId xmlns:a16="http://schemas.microsoft.com/office/drawing/2014/main" id="{00000000-0008-0000-0500-000017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8" name="subjectsbox_06" hidden="1">
              <a:extLst>
                <a:ext uri="{63B3BB69-23CF-44E3-9099-C40C66FF867C}">
                  <a14:compatExt spid="_x0000_s26648"/>
                </a:ext>
                <a:ext uri="{FF2B5EF4-FFF2-40B4-BE49-F238E27FC236}">
                  <a16:creationId xmlns:a16="http://schemas.microsoft.com/office/drawing/2014/main" id="{00000000-0008-0000-0500-000018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49" name="subjectsbox_07" hidden="1">
              <a:extLst>
                <a:ext uri="{63B3BB69-23CF-44E3-9099-C40C66FF867C}">
                  <a14:compatExt spid="_x0000_s26649"/>
                </a:ext>
                <a:ext uri="{FF2B5EF4-FFF2-40B4-BE49-F238E27FC236}">
                  <a16:creationId xmlns:a16="http://schemas.microsoft.com/office/drawing/2014/main" id="{00000000-0008-0000-0500-000019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50" name="subjectsbox_08" hidden="1">
              <a:extLst>
                <a:ext uri="{63B3BB69-23CF-44E3-9099-C40C66FF867C}">
                  <a14:compatExt spid="_x0000_s26650"/>
                </a:ext>
                <a:ext uri="{FF2B5EF4-FFF2-40B4-BE49-F238E27FC236}">
                  <a16:creationId xmlns:a16="http://schemas.microsoft.com/office/drawing/2014/main" id="{00000000-0008-0000-0500-00001A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51" name="subjectsbox_09" hidden="1">
              <a:extLst>
                <a:ext uri="{63B3BB69-23CF-44E3-9099-C40C66FF867C}">
                  <a14:compatExt spid="_x0000_s26651"/>
                </a:ext>
                <a:ext uri="{FF2B5EF4-FFF2-40B4-BE49-F238E27FC236}">
                  <a16:creationId xmlns:a16="http://schemas.microsoft.com/office/drawing/2014/main" id="{00000000-0008-0000-0500-00001B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52" name="subjectsbox_10" hidden="1">
              <a:extLst>
                <a:ext uri="{63B3BB69-23CF-44E3-9099-C40C66FF867C}">
                  <a14:compatExt spid="_x0000_s26652"/>
                </a:ext>
                <a:ext uri="{FF2B5EF4-FFF2-40B4-BE49-F238E27FC236}">
                  <a16:creationId xmlns:a16="http://schemas.microsoft.com/office/drawing/2014/main" id="{00000000-0008-0000-0500-00001C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53" name="subjectsbox_11" hidden="1">
              <a:extLst>
                <a:ext uri="{63B3BB69-23CF-44E3-9099-C40C66FF867C}">
                  <a14:compatExt spid="_x0000_s26653"/>
                </a:ext>
                <a:ext uri="{FF2B5EF4-FFF2-40B4-BE49-F238E27FC236}">
                  <a16:creationId xmlns:a16="http://schemas.microsoft.com/office/drawing/2014/main" id="{00000000-0008-0000-0500-00001D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4" name="subjectsbox_12" hidden="1">
              <a:extLst>
                <a:ext uri="{63B3BB69-23CF-44E3-9099-C40C66FF867C}">
                  <a14:compatExt spid="_x0000_s26654"/>
                </a:ext>
                <a:ext uri="{FF2B5EF4-FFF2-40B4-BE49-F238E27FC236}">
                  <a16:creationId xmlns:a16="http://schemas.microsoft.com/office/drawing/2014/main" id="{00000000-0008-0000-0500-00001E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5" name="subjectsbox_13" hidden="1">
              <a:extLst>
                <a:ext uri="{63B3BB69-23CF-44E3-9099-C40C66FF867C}">
                  <a14:compatExt spid="_x0000_s26655"/>
                </a:ext>
                <a:ext uri="{FF2B5EF4-FFF2-40B4-BE49-F238E27FC236}">
                  <a16:creationId xmlns:a16="http://schemas.microsoft.com/office/drawing/2014/main" id="{00000000-0008-0000-0500-00001F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6" name="subjectsbox_14" hidden="1">
              <a:extLst>
                <a:ext uri="{63B3BB69-23CF-44E3-9099-C40C66FF867C}">
                  <a14:compatExt spid="_x0000_s26656"/>
                </a:ext>
                <a:ext uri="{FF2B5EF4-FFF2-40B4-BE49-F238E27FC236}">
                  <a16:creationId xmlns:a16="http://schemas.microsoft.com/office/drawing/2014/main" id="{00000000-0008-0000-0500-000020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7" name="subjectsbox_15" hidden="1">
              <a:extLst>
                <a:ext uri="{63B3BB69-23CF-44E3-9099-C40C66FF867C}">
                  <a14:compatExt spid="_x0000_s26657"/>
                </a:ext>
                <a:ext uri="{FF2B5EF4-FFF2-40B4-BE49-F238E27FC236}">
                  <a16:creationId xmlns:a16="http://schemas.microsoft.com/office/drawing/2014/main" id="{00000000-0008-0000-0500-000021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8" name="subjectsbox_16" hidden="1">
              <a:extLst>
                <a:ext uri="{63B3BB69-23CF-44E3-9099-C40C66FF867C}">
                  <a14:compatExt spid="_x0000_s26658"/>
                </a:ext>
                <a:ext uri="{FF2B5EF4-FFF2-40B4-BE49-F238E27FC236}">
                  <a16:creationId xmlns:a16="http://schemas.microsoft.com/office/drawing/2014/main" id="{00000000-0008-0000-0500-000022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59" name="subjectsbox_17" hidden="1">
              <a:extLst>
                <a:ext uri="{63B3BB69-23CF-44E3-9099-C40C66FF867C}">
                  <a14:compatExt spid="_x0000_s26659"/>
                </a:ext>
                <a:ext uri="{FF2B5EF4-FFF2-40B4-BE49-F238E27FC236}">
                  <a16:creationId xmlns:a16="http://schemas.microsoft.com/office/drawing/2014/main" id="{00000000-0008-0000-0500-000023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60" name="subjectsbox_18" hidden="1">
              <a:extLst>
                <a:ext uri="{63B3BB69-23CF-44E3-9099-C40C66FF867C}">
                  <a14:compatExt spid="_x0000_s26660"/>
                </a:ext>
                <a:ext uri="{FF2B5EF4-FFF2-40B4-BE49-F238E27FC236}">
                  <a16:creationId xmlns:a16="http://schemas.microsoft.com/office/drawing/2014/main" id="{00000000-0008-0000-0500-000024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61" name="subjectsbox_19" hidden="1">
              <a:extLst>
                <a:ext uri="{63B3BB69-23CF-44E3-9099-C40C66FF867C}">
                  <a14:compatExt spid="_x0000_s26661"/>
                </a:ext>
                <a:ext uri="{FF2B5EF4-FFF2-40B4-BE49-F238E27FC236}">
                  <a16:creationId xmlns:a16="http://schemas.microsoft.com/office/drawing/2014/main" id="{00000000-0008-0000-0500-000025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62" name="subjectsbox_20" hidden="1">
              <a:extLst>
                <a:ext uri="{63B3BB69-23CF-44E3-9099-C40C66FF867C}">
                  <a14:compatExt spid="_x0000_s26662"/>
                </a:ext>
                <a:ext uri="{FF2B5EF4-FFF2-40B4-BE49-F238E27FC236}">
                  <a16:creationId xmlns:a16="http://schemas.microsoft.com/office/drawing/2014/main" id="{00000000-0008-0000-0500-000026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3" name="strandsbox_01" hidden="1">
              <a:extLst>
                <a:ext uri="{63B3BB69-23CF-44E3-9099-C40C66FF867C}">
                  <a14:compatExt spid="_x0000_s26663"/>
                </a:ext>
                <a:ext uri="{FF2B5EF4-FFF2-40B4-BE49-F238E27FC236}">
                  <a16:creationId xmlns:a16="http://schemas.microsoft.com/office/drawing/2014/main" id="{00000000-0008-0000-0500-000027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4" name="strandsbox_02" hidden="1">
              <a:extLst>
                <a:ext uri="{63B3BB69-23CF-44E3-9099-C40C66FF867C}">
                  <a14:compatExt spid="_x0000_s26664"/>
                </a:ext>
                <a:ext uri="{FF2B5EF4-FFF2-40B4-BE49-F238E27FC236}">
                  <a16:creationId xmlns:a16="http://schemas.microsoft.com/office/drawing/2014/main" id="{00000000-0008-0000-0500-000028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5" name="strandsbox_03" hidden="1">
              <a:extLst>
                <a:ext uri="{63B3BB69-23CF-44E3-9099-C40C66FF867C}">
                  <a14:compatExt spid="_x0000_s26665"/>
                </a:ext>
                <a:ext uri="{FF2B5EF4-FFF2-40B4-BE49-F238E27FC236}">
                  <a16:creationId xmlns:a16="http://schemas.microsoft.com/office/drawing/2014/main" id="{00000000-0008-0000-0500-000029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6" name="strandsbox_04" hidden="1">
              <a:extLst>
                <a:ext uri="{63B3BB69-23CF-44E3-9099-C40C66FF867C}">
                  <a14:compatExt spid="_x0000_s26666"/>
                </a:ext>
                <a:ext uri="{FF2B5EF4-FFF2-40B4-BE49-F238E27FC236}">
                  <a16:creationId xmlns:a16="http://schemas.microsoft.com/office/drawing/2014/main" id="{00000000-0008-0000-0500-00002A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7" name="strandsbox_05" hidden="1">
              <a:extLst>
                <a:ext uri="{63B3BB69-23CF-44E3-9099-C40C66FF867C}">
                  <a14:compatExt spid="_x0000_s26667"/>
                </a:ext>
                <a:ext uri="{FF2B5EF4-FFF2-40B4-BE49-F238E27FC236}">
                  <a16:creationId xmlns:a16="http://schemas.microsoft.com/office/drawing/2014/main" id="{00000000-0008-0000-0500-00002B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15</xdr:row>
          <xdr:rowOff>0</xdr:rowOff>
        </xdr:from>
        <xdr:to>
          <xdr:col>9</xdr:col>
          <xdr:colOff>0</xdr:colOff>
          <xdr:row>15</xdr:row>
          <xdr:rowOff>228600</xdr:rowOff>
        </xdr:to>
        <xdr:sp macro="" textlink="">
          <xdr:nvSpPr>
            <xdr:cNvPr id="26668" name="strandsbox_06" hidden="1">
              <a:extLst>
                <a:ext uri="{63B3BB69-23CF-44E3-9099-C40C66FF867C}">
                  <a14:compatExt spid="_x0000_s26668"/>
                </a:ext>
                <a:ext uri="{FF2B5EF4-FFF2-40B4-BE49-F238E27FC236}">
                  <a16:creationId xmlns:a16="http://schemas.microsoft.com/office/drawing/2014/main" id="{00000000-0008-0000-0500-00002C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69" name="strandsbox_07" hidden="1">
              <a:extLst>
                <a:ext uri="{63B3BB69-23CF-44E3-9099-C40C66FF867C}">
                  <a14:compatExt spid="_x0000_s26669"/>
                </a:ext>
                <a:ext uri="{FF2B5EF4-FFF2-40B4-BE49-F238E27FC236}">
                  <a16:creationId xmlns:a16="http://schemas.microsoft.com/office/drawing/2014/main" id="{00000000-0008-0000-0500-00002D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70" name="strandsbox_08" hidden="1">
              <a:extLst>
                <a:ext uri="{63B3BB69-23CF-44E3-9099-C40C66FF867C}">
                  <a14:compatExt spid="_x0000_s26670"/>
                </a:ext>
                <a:ext uri="{FF2B5EF4-FFF2-40B4-BE49-F238E27FC236}">
                  <a16:creationId xmlns:a16="http://schemas.microsoft.com/office/drawing/2014/main" id="{00000000-0008-0000-0500-00002E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71" name="strandsbox_09" hidden="1">
              <a:extLst>
                <a:ext uri="{63B3BB69-23CF-44E3-9099-C40C66FF867C}">
                  <a14:compatExt spid="_x0000_s26671"/>
                </a:ext>
                <a:ext uri="{FF2B5EF4-FFF2-40B4-BE49-F238E27FC236}">
                  <a16:creationId xmlns:a16="http://schemas.microsoft.com/office/drawing/2014/main" id="{00000000-0008-0000-0500-00002F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72" name="strandsbox_10" hidden="1">
              <a:extLst>
                <a:ext uri="{63B3BB69-23CF-44E3-9099-C40C66FF867C}">
                  <a14:compatExt spid="_x0000_s26672"/>
                </a:ext>
                <a:ext uri="{FF2B5EF4-FFF2-40B4-BE49-F238E27FC236}">
                  <a16:creationId xmlns:a16="http://schemas.microsoft.com/office/drawing/2014/main" id="{00000000-0008-0000-0500-000030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73" name="strandsbox_11" hidden="1">
              <a:extLst>
                <a:ext uri="{63B3BB69-23CF-44E3-9099-C40C66FF867C}">
                  <a14:compatExt spid="_x0000_s26673"/>
                </a:ext>
                <a:ext uri="{FF2B5EF4-FFF2-40B4-BE49-F238E27FC236}">
                  <a16:creationId xmlns:a16="http://schemas.microsoft.com/office/drawing/2014/main" id="{00000000-0008-0000-0500-000031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15</xdr:row>
          <xdr:rowOff>0</xdr:rowOff>
        </xdr:from>
        <xdr:to>
          <xdr:col>14</xdr:col>
          <xdr:colOff>1089660</xdr:colOff>
          <xdr:row>15</xdr:row>
          <xdr:rowOff>228600</xdr:rowOff>
        </xdr:to>
        <xdr:sp macro="" textlink="">
          <xdr:nvSpPr>
            <xdr:cNvPr id="26674" name="strandsbox_12" hidden="1">
              <a:extLst>
                <a:ext uri="{63B3BB69-23CF-44E3-9099-C40C66FF867C}">
                  <a14:compatExt spid="_x0000_s26674"/>
                </a:ext>
                <a:ext uri="{FF2B5EF4-FFF2-40B4-BE49-F238E27FC236}">
                  <a16:creationId xmlns:a16="http://schemas.microsoft.com/office/drawing/2014/main" id="{00000000-0008-0000-0500-0000326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14</xdr:col>
      <xdr:colOff>850707</xdr:colOff>
      <xdr:row>0</xdr:row>
      <xdr:rowOff>127000</xdr:rowOff>
    </xdr:from>
    <xdr:to>
      <xdr:col>15</xdr:col>
      <xdr:colOff>373</xdr:colOff>
      <xdr:row>3</xdr:row>
      <xdr:rowOff>152400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37357" y="127000"/>
          <a:ext cx="1429316" cy="1104900"/>
        </a:xfrm>
        <a:prstGeom prst="rect">
          <a:avLst/>
        </a:prstGeom>
      </xdr:spPr>
    </xdr:pic>
    <xdr:clientData/>
  </xdr:twoCellAnchor>
  <xdr:twoCellAnchor editAs="oneCell">
    <xdr:from>
      <xdr:col>1</xdr:col>
      <xdr:colOff>152400</xdr:colOff>
      <xdr:row>0</xdr:row>
      <xdr:rowOff>151577</xdr:rowOff>
    </xdr:from>
    <xdr:to>
      <xdr:col>4</xdr:col>
      <xdr:colOff>511250</xdr:colOff>
      <xdr:row>2</xdr:row>
      <xdr:rowOff>160999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1950" y="151577"/>
          <a:ext cx="1470100" cy="796822"/>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7620</xdr:colOff>
          <xdr:row>16</xdr:row>
          <xdr:rowOff>327660</xdr:rowOff>
        </xdr:from>
        <xdr:to>
          <xdr:col>13</xdr:col>
          <xdr:colOff>144780</xdr:colOff>
          <xdr:row>17</xdr:row>
          <xdr:rowOff>480060</xdr:rowOff>
        </xdr:to>
        <xdr:sp macro="" textlink="">
          <xdr:nvSpPr>
            <xdr:cNvPr id="26675" name="Button 51" hidden="1">
              <a:extLst>
                <a:ext uri="{63B3BB69-23CF-44E3-9099-C40C66FF867C}">
                  <a14:compatExt spid="_x0000_s26675"/>
                </a:ext>
                <a:ext uri="{FF2B5EF4-FFF2-40B4-BE49-F238E27FC236}">
                  <a16:creationId xmlns:a16="http://schemas.microsoft.com/office/drawing/2014/main" id="{00000000-0008-0000-0500-0000336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Show/Hide </a:t>
              </a:r>
            </a:p>
            <a:p>
              <a:pPr algn="ctr" rtl="0">
                <a:defRPr sz="1000"/>
              </a:pPr>
              <a:r>
                <a:rPr lang="en-US" sz="1600" b="1" i="0" u="none" strike="noStrike" baseline="0">
                  <a:solidFill>
                    <a:srgbClr val="000000"/>
                  </a:solidFill>
                  <a:latin typeface="Calibri"/>
                  <a:cs typeface="Calibri"/>
                </a:rPr>
                <a:t>Forms - Ratee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381000</xdr:colOff>
          <xdr:row>16</xdr:row>
          <xdr:rowOff>327660</xdr:rowOff>
        </xdr:from>
        <xdr:to>
          <xdr:col>5</xdr:col>
          <xdr:colOff>0</xdr:colOff>
          <xdr:row>17</xdr:row>
          <xdr:rowOff>495300</xdr:rowOff>
        </xdr:to>
        <xdr:sp macro="" textlink="">
          <xdr:nvSpPr>
            <xdr:cNvPr id="26676" name="Button 52" hidden="1">
              <a:extLst>
                <a:ext uri="{63B3BB69-23CF-44E3-9099-C40C66FF867C}">
                  <a14:compatExt spid="_x0000_s26676"/>
                </a:ext>
                <a:ext uri="{FF2B5EF4-FFF2-40B4-BE49-F238E27FC236}">
                  <a16:creationId xmlns:a16="http://schemas.microsoft.com/office/drawing/2014/main" id="{00000000-0008-0000-0500-000034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cs typeface="Calibri"/>
                </a:rPr>
                <a:t>Edit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16</xdr:row>
          <xdr:rowOff>327660</xdr:rowOff>
        </xdr:from>
        <xdr:to>
          <xdr:col>15</xdr:col>
          <xdr:colOff>0</xdr:colOff>
          <xdr:row>17</xdr:row>
          <xdr:rowOff>480060</xdr:rowOff>
        </xdr:to>
        <xdr:sp macro="" textlink="">
          <xdr:nvSpPr>
            <xdr:cNvPr id="26677" name="Button 53" hidden="1">
              <a:extLst>
                <a:ext uri="{63B3BB69-23CF-44E3-9099-C40C66FF867C}">
                  <a14:compatExt spid="_x0000_s26677"/>
                </a:ext>
                <a:ext uri="{FF2B5EF4-FFF2-40B4-BE49-F238E27FC236}">
                  <a16:creationId xmlns:a16="http://schemas.microsoft.com/office/drawing/2014/main" id="{00000000-0008-0000-0500-0000356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Show/Hide </a:t>
              </a:r>
            </a:p>
            <a:p>
              <a:pPr algn="ctr" rtl="0">
                <a:defRPr sz="1000"/>
              </a:pPr>
              <a:r>
                <a:rPr lang="en-US" sz="1600" b="1" i="0" u="none" strike="noStrike" baseline="0">
                  <a:solidFill>
                    <a:srgbClr val="000000"/>
                  </a:solidFill>
                  <a:latin typeface="Calibri"/>
                  <a:cs typeface="Calibri"/>
                </a:rPr>
                <a:t>Forms - Rater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434474</xdr:colOff>
      <xdr:row>2</xdr:row>
      <xdr:rowOff>8357</xdr:rowOff>
    </xdr:from>
    <xdr:ext cx="8839869" cy="1779670"/>
    <xdr:sp macro="" textlink="">
      <xdr:nvSpPr>
        <xdr:cNvPr id="2" name="Shape 3">
          <a:extLst>
            <a:ext uri="{FF2B5EF4-FFF2-40B4-BE49-F238E27FC236}">
              <a16:creationId xmlns:a16="http://schemas.microsoft.com/office/drawing/2014/main" id="{00000000-0008-0000-0600-000002000000}"/>
            </a:ext>
          </a:extLst>
        </xdr:cNvPr>
        <xdr:cNvSpPr/>
      </xdr:nvSpPr>
      <xdr:spPr>
        <a:xfrm>
          <a:off x="1236579" y="1194804"/>
          <a:ext cx="8839869" cy="1779670"/>
        </a:xfrm>
        <a:prstGeom prst="rect">
          <a:avLst/>
        </a:prstGeom>
        <a:noFill/>
        <a:ln w="25400" cap="flat" cmpd="sng">
          <a:noFill/>
          <a:prstDash val="solid"/>
          <a:round/>
          <a:headEnd type="none" w="sm" len="sm"/>
          <a:tailEnd type="none" w="sm" len="sm"/>
        </a:ln>
      </xdr:spPr>
      <xdr:txBody>
        <a:bodyPr spcFirstLastPara="1" wrap="square" lIns="91425" tIns="45700" rIns="91425" bIns="45700" anchor="t" anchorCtr="0">
          <a:noAutofit/>
        </a:bodyPr>
        <a:lstStyle/>
        <a:p>
          <a:pPr marL="0" marR="0" lvl="0" indent="0" algn="l" rtl="0">
            <a:lnSpc>
              <a:spcPct val="100000"/>
            </a:lnSpc>
            <a:spcBef>
              <a:spcPts val="0"/>
            </a:spcBef>
            <a:spcAft>
              <a:spcPts val="0"/>
            </a:spcAft>
            <a:buClr>
              <a:srgbClr val="000000"/>
            </a:buClr>
            <a:buSzPts val="1800"/>
            <a:buFont typeface="Arial"/>
            <a:buNone/>
          </a:pPr>
          <a:r>
            <a:rPr lang="en-US" sz="2000">
              <a:solidFill>
                <a:srgbClr val="000000"/>
              </a:solidFill>
              <a:latin typeface="+mn-lt"/>
              <a:ea typeface="Calibri"/>
              <a:cs typeface="Calibri"/>
              <a:sym typeface="Calibri"/>
            </a:rPr>
            <a:t>This is the official tool that will be used by DepEd teachers in the preparation of their Individual Performance Commitmment and Review Forms.</a:t>
          </a:r>
        </a:p>
        <a:p>
          <a:pPr marL="0" marR="0" lvl="0" indent="0" algn="l" rtl="0">
            <a:lnSpc>
              <a:spcPct val="100000"/>
            </a:lnSpc>
            <a:spcBef>
              <a:spcPts val="0"/>
            </a:spcBef>
            <a:spcAft>
              <a:spcPts val="0"/>
            </a:spcAft>
            <a:buClr>
              <a:srgbClr val="000000"/>
            </a:buClr>
            <a:buSzPts val="1800"/>
            <a:buFont typeface="Arial"/>
            <a:buNone/>
          </a:pPr>
          <a:endParaRPr lang="en-US" sz="2000">
            <a:solidFill>
              <a:srgbClr val="000000"/>
            </a:solidFill>
            <a:latin typeface="+mn-lt"/>
            <a:ea typeface="Calibri"/>
            <a:cs typeface="Calibri"/>
            <a:sym typeface="Calibri"/>
          </a:endParaRPr>
        </a:p>
        <a:p>
          <a:pPr marL="0" marR="0" lvl="0" indent="0" algn="l" rtl="0">
            <a:lnSpc>
              <a:spcPct val="100000"/>
            </a:lnSpc>
            <a:spcBef>
              <a:spcPts val="0"/>
            </a:spcBef>
            <a:spcAft>
              <a:spcPts val="0"/>
            </a:spcAft>
            <a:buClr>
              <a:srgbClr val="000000"/>
            </a:buClr>
            <a:buSzPts val="1800"/>
            <a:buFont typeface="Arial"/>
            <a:buNone/>
          </a:pPr>
          <a:r>
            <a:rPr lang="en-US" sz="2000">
              <a:solidFill>
                <a:srgbClr val="000000"/>
              </a:solidFill>
              <a:latin typeface="+mn-lt"/>
              <a:ea typeface="Calibri"/>
              <a:cs typeface="Calibri"/>
              <a:sym typeface="Calibri"/>
            </a:rPr>
            <a:t>Select a career stage to view the objectives set for this tool. Click Start to proceed using the tool.</a:t>
          </a:r>
        </a:p>
      </xdr:txBody>
    </xdr:sp>
    <xdr:clientData/>
  </xdr:oneCellAnchor>
  <mc:AlternateContent xmlns:mc="http://schemas.openxmlformats.org/markup-compatibility/2006">
    <mc:Choice xmlns:a14="http://schemas.microsoft.com/office/drawing/2010/main" Requires="a14">
      <xdr:twoCellAnchor>
        <xdr:from>
          <xdr:col>10</xdr:col>
          <xdr:colOff>198120</xdr:colOff>
          <xdr:row>16</xdr:row>
          <xdr:rowOff>297180</xdr:rowOff>
        </xdr:from>
        <xdr:to>
          <xdr:col>12</xdr:col>
          <xdr:colOff>495300</xdr:colOff>
          <xdr:row>20</xdr:row>
          <xdr:rowOff>15240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none" strike="noStrike" baseline="0">
                  <a:solidFill>
                    <a:srgbClr val="000000"/>
                  </a:solidFill>
                  <a:latin typeface="Calibri"/>
                  <a:cs typeface="Calibri"/>
                </a:rPr>
                <a:t>START</a:t>
              </a:r>
            </a:p>
          </xdr:txBody>
        </xdr:sp>
        <xdr:clientData/>
      </xdr:twoCellAnchor>
    </mc:Choice>
    <mc:Fallback/>
  </mc:AlternateContent>
  <xdr:twoCellAnchor editAs="oneCell">
    <xdr:from>
      <xdr:col>1</xdr:col>
      <xdr:colOff>484605</xdr:colOff>
      <xdr:row>0</xdr:row>
      <xdr:rowOff>29411</xdr:rowOff>
    </xdr:from>
    <xdr:to>
      <xdr:col>3</xdr:col>
      <xdr:colOff>391112</xdr:colOff>
      <xdr:row>0</xdr:row>
      <xdr:rowOff>783163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86710" y="29411"/>
          <a:ext cx="1510718" cy="753752"/>
        </a:xfrm>
        <a:prstGeom prst="rect">
          <a:avLst/>
        </a:prstGeom>
      </xdr:spPr>
    </xdr:pic>
    <xdr:clientData/>
  </xdr:twoCellAnchor>
  <xdr:twoCellAnchor editAs="oneCell">
    <xdr:from>
      <xdr:col>10</xdr:col>
      <xdr:colOff>393221</xdr:colOff>
      <xdr:row>0</xdr:row>
      <xdr:rowOff>33422</xdr:rowOff>
    </xdr:from>
    <xdr:to>
      <xdr:col>12</xdr:col>
      <xdr:colOff>30993</xdr:colOff>
      <xdr:row>0</xdr:row>
      <xdr:rowOff>962650</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4274" y="33422"/>
          <a:ext cx="1241982" cy="92922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466725</xdr:colOff>
      <xdr:row>2</xdr:row>
      <xdr:rowOff>1</xdr:rowOff>
    </xdr:from>
    <xdr:ext cx="9115425" cy="2165349"/>
    <xdr:sp macro="" textlink="">
      <xdr:nvSpPr>
        <xdr:cNvPr id="2" name="Shape 4">
          <a:extLst>
            <a:ext uri="{FF2B5EF4-FFF2-40B4-BE49-F238E27FC236}">
              <a16:creationId xmlns:a16="http://schemas.microsoft.com/office/drawing/2014/main" id="{00000000-0008-0000-0700-000002000000}"/>
            </a:ext>
          </a:extLst>
        </xdr:cNvPr>
        <xdr:cNvSpPr/>
      </xdr:nvSpPr>
      <xdr:spPr>
        <a:xfrm>
          <a:off x="466725" y="1073151"/>
          <a:ext cx="9115425" cy="2165349"/>
        </a:xfrm>
        <a:prstGeom prst="rect">
          <a:avLst/>
        </a:prstGeom>
        <a:solidFill>
          <a:schemeClr val="accent6">
            <a:lumMod val="40000"/>
            <a:lumOff val="60000"/>
          </a:schemeClr>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ctr" rtl="0">
            <a:spcBef>
              <a:spcPts val="0"/>
            </a:spcBef>
            <a:spcAft>
              <a:spcPts val="0"/>
            </a:spcAft>
            <a:buNone/>
          </a:pPr>
          <a:endParaRPr sz="1200" b="1">
            <a:solidFill>
              <a:schemeClr val="accent2"/>
            </a:solidFill>
          </a:endParaRPr>
        </a:p>
        <a:p>
          <a:pPr marL="0" lvl="0" indent="0" algn="ctr" rtl="0">
            <a:spcBef>
              <a:spcPts val="0"/>
            </a:spcBef>
            <a:spcAft>
              <a:spcPts val="0"/>
            </a:spcAft>
            <a:buNone/>
          </a:pPr>
          <a:r>
            <a:rPr lang="en-US" sz="3200" b="1">
              <a:solidFill>
                <a:srgbClr val="FF0000"/>
              </a:solidFill>
              <a:latin typeface="Calibri"/>
              <a:ea typeface="Calibri"/>
              <a:cs typeface="Calibri"/>
              <a:sym typeface="Calibri"/>
            </a:rPr>
            <a:t>PRIVACY NOTICE</a:t>
          </a:r>
          <a:endParaRPr sz="3200">
            <a:solidFill>
              <a:srgbClr val="FF0000"/>
            </a:solidFill>
          </a:endParaRPr>
        </a:p>
        <a:p>
          <a:pPr marL="0" lvl="0" indent="0" algn="ctr" rtl="0">
            <a:spcBef>
              <a:spcPts val="0"/>
            </a:spcBef>
            <a:spcAft>
              <a:spcPts val="0"/>
            </a:spcAft>
            <a:buNone/>
          </a:pPr>
          <a:endParaRPr sz="1800" b="1"/>
        </a:p>
        <a:p>
          <a:pPr marL="0" lvl="0" indent="0" algn="ctr" rtl="0">
            <a:spcBef>
              <a:spcPts val="0"/>
            </a:spcBef>
            <a:spcAft>
              <a:spcPts val="0"/>
            </a:spcAft>
            <a:buNone/>
          </a:pPr>
          <a:r>
            <a:rPr lang="en-US" sz="1800" b="1" i="0">
              <a:solidFill>
                <a:srgbClr val="000000"/>
              </a:solidFill>
              <a:latin typeface="Century Gothic"/>
              <a:ea typeface="Century Gothic"/>
              <a:cs typeface="Century Gothic"/>
              <a:sym typeface="Century Gothic"/>
            </a:rPr>
            <a:t>I authorize the personnel of Department of Education to collect, process, retain, and dispose my personal information</a:t>
          </a:r>
          <a:endParaRPr sz="1800"/>
        </a:p>
        <a:p>
          <a:pPr marL="0" lvl="0" indent="0" algn="ctr" rtl="0">
            <a:spcBef>
              <a:spcPts val="0"/>
            </a:spcBef>
            <a:spcAft>
              <a:spcPts val="0"/>
            </a:spcAft>
            <a:buNone/>
          </a:pPr>
          <a:r>
            <a:rPr lang="en-US" sz="1800" b="1" i="0">
              <a:solidFill>
                <a:srgbClr val="000000"/>
              </a:solidFill>
              <a:latin typeface="Century Gothic"/>
              <a:ea typeface="Century Gothic"/>
              <a:cs typeface="Century Gothic"/>
              <a:sym typeface="Century Gothic"/>
            </a:rPr>
            <a:t>in accordance with the Data Privacy Act of 2012.</a:t>
          </a:r>
          <a:endParaRPr sz="1800" b="1" i="0">
            <a:solidFill>
              <a:srgbClr val="000000"/>
            </a:solidFill>
            <a:latin typeface="Century Gothic"/>
            <a:ea typeface="Century Gothic"/>
            <a:cs typeface="Century Gothic"/>
            <a:sym typeface="Century Gothic"/>
          </a:endParaRPr>
        </a:p>
      </xdr:txBody>
    </xdr:sp>
    <xdr:clientData fLocksWithSheet="0"/>
  </xdr:oneCellAnchor>
  <mc:AlternateContent xmlns:mc="http://schemas.openxmlformats.org/markup-compatibility/2006">
    <mc:Choice xmlns:a14="http://schemas.microsoft.com/office/drawing/2010/main" Requires="a14">
      <xdr:twoCellAnchor>
        <xdr:from>
          <xdr:col>3</xdr:col>
          <xdr:colOff>358140</xdr:colOff>
          <xdr:row>14</xdr:row>
          <xdr:rowOff>83820</xdr:rowOff>
        </xdr:from>
        <xdr:to>
          <xdr:col>5</xdr:col>
          <xdr:colOff>685800</xdr:colOff>
          <xdr:row>17</xdr:row>
          <xdr:rowOff>175260</xdr:rowOff>
        </xdr:to>
        <xdr:sp macro="" textlink="">
          <xdr:nvSpPr>
            <xdr:cNvPr id="24577" name="BackToHome"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none" strike="noStrike" baseline="0">
                  <a:solidFill>
                    <a:srgbClr val="000000"/>
                  </a:solidFill>
                  <a:latin typeface="Calibri"/>
                  <a:cs typeface="Calibri"/>
                </a:rPr>
                <a:t>DISAGREE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754380</xdr:colOff>
          <xdr:row>14</xdr:row>
          <xdr:rowOff>91440</xdr:rowOff>
        </xdr:from>
        <xdr:to>
          <xdr:col>9</xdr:col>
          <xdr:colOff>289560</xdr:colOff>
          <xdr:row>17</xdr:row>
          <xdr:rowOff>182880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none" strike="noStrike" baseline="0">
                  <a:solidFill>
                    <a:srgbClr val="000000"/>
                  </a:solidFill>
                  <a:latin typeface="Calibri"/>
                  <a:cs typeface="Calibri"/>
                </a:rPr>
                <a:t>AGREE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967740</xdr:colOff>
          <xdr:row>133</xdr:row>
          <xdr:rowOff>99060</xdr:rowOff>
        </xdr:from>
        <xdr:to>
          <xdr:col>12</xdr:col>
          <xdr:colOff>289560</xdr:colOff>
          <xdr:row>136</xdr:row>
          <xdr:rowOff>76200</xdr:rowOff>
        </xdr:to>
        <xdr:sp macro="" textlink="">
          <xdr:nvSpPr>
            <xdr:cNvPr id="25601" name="BackToStart"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xdr:colOff>
          <xdr:row>133</xdr:row>
          <xdr:rowOff>99060</xdr:rowOff>
        </xdr:from>
        <xdr:to>
          <xdr:col>14</xdr:col>
          <xdr:colOff>1371600</xdr:colOff>
          <xdr:row>136</xdr:row>
          <xdr:rowOff>76200</xdr:rowOff>
        </xdr:to>
        <xdr:sp macro="" textlink="">
          <xdr:nvSpPr>
            <xdr:cNvPr id="25602" name="ToPart2" hidden="1">
              <a:extLst>
                <a:ext uri="{63B3BB69-23CF-44E3-9099-C40C66FF867C}">
                  <a14:compatExt spid="_x0000_s25602"/>
                </a:ext>
                <a:ext uri="{FF2B5EF4-FFF2-40B4-BE49-F238E27FC236}">
                  <a16:creationId xmlns:a16="http://schemas.microsoft.com/office/drawing/2014/main" id="{00000000-0008-0000-0800-000002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cs typeface="Calibri"/>
                </a:rPr>
                <a:t>FINALIZE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18</xdr:row>
          <xdr:rowOff>15240</xdr:rowOff>
        </xdr:from>
        <xdr:to>
          <xdr:col>9</xdr:col>
          <xdr:colOff>0</xdr:colOff>
          <xdr:row>36</xdr:row>
          <xdr:rowOff>0</xdr:rowOff>
        </xdr:to>
        <xdr:sp macro="" textlink="">
          <xdr:nvSpPr>
            <xdr:cNvPr id="25603" name="elembox_01" hidden="1">
              <a:extLst>
                <a:ext uri="{63B3BB69-23CF-44E3-9099-C40C66FF867C}">
                  <a14:compatExt spid="_x0000_s25603"/>
                </a:ext>
                <a:ext uri="{FF2B5EF4-FFF2-40B4-BE49-F238E27FC236}">
                  <a16:creationId xmlns:a16="http://schemas.microsoft.com/office/drawing/2014/main" id="{00000000-0008-0000-0800-00000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19</xdr:row>
          <xdr:rowOff>15240</xdr:rowOff>
        </xdr:from>
        <xdr:to>
          <xdr:col>9</xdr:col>
          <xdr:colOff>0</xdr:colOff>
          <xdr:row>36</xdr:row>
          <xdr:rowOff>0</xdr:rowOff>
        </xdr:to>
        <xdr:sp macro="" textlink="">
          <xdr:nvSpPr>
            <xdr:cNvPr id="25604" name="elembox_02" hidden="1">
              <a:extLst>
                <a:ext uri="{63B3BB69-23CF-44E3-9099-C40C66FF867C}">
                  <a14:compatExt spid="_x0000_s25604"/>
                </a:ext>
                <a:ext uri="{FF2B5EF4-FFF2-40B4-BE49-F238E27FC236}">
                  <a16:creationId xmlns:a16="http://schemas.microsoft.com/office/drawing/2014/main" id="{00000000-0008-0000-0800-00000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20</xdr:row>
          <xdr:rowOff>22860</xdr:rowOff>
        </xdr:from>
        <xdr:to>
          <xdr:col>9</xdr:col>
          <xdr:colOff>0</xdr:colOff>
          <xdr:row>36</xdr:row>
          <xdr:rowOff>0</xdr:rowOff>
        </xdr:to>
        <xdr:sp macro="" textlink="">
          <xdr:nvSpPr>
            <xdr:cNvPr id="25605" name="elembox_03" hidden="1">
              <a:extLst>
                <a:ext uri="{63B3BB69-23CF-44E3-9099-C40C66FF867C}">
                  <a14:compatExt spid="_x0000_s25605"/>
                </a:ext>
                <a:ext uri="{FF2B5EF4-FFF2-40B4-BE49-F238E27FC236}">
                  <a16:creationId xmlns:a16="http://schemas.microsoft.com/office/drawing/2014/main" id="{00000000-0008-0000-0800-00000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21</xdr:row>
          <xdr:rowOff>22860</xdr:rowOff>
        </xdr:from>
        <xdr:to>
          <xdr:col>9</xdr:col>
          <xdr:colOff>0</xdr:colOff>
          <xdr:row>36</xdr:row>
          <xdr:rowOff>0</xdr:rowOff>
        </xdr:to>
        <xdr:sp macro="" textlink="">
          <xdr:nvSpPr>
            <xdr:cNvPr id="25606" name="elembox_04" hidden="1">
              <a:extLst>
                <a:ext uri="{63B3BB69-23CF-44E3-9099-C40C66FF867C}">
                  <a14:compatExt spid="_x0000_s25606"/>
                </a:ext>
                <a:ext uri="{FF2B5EF4-FFF2-40B4-BE49-F238E27FC236}">
                  <a16:creationId xmlns:a16="http://schemas.microsoft.com/office/drawing/2014/main" id="{00000000-0008-0000-0800-00000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22</xdr:row>
          <xdr:rowOff>22860</xdr:rowOff>
        </xdr:from>
        <xdr:to>
          <xdr:col>9</xdr:col>
          <xdr:colOff>0</xdr:colOff>
          <xdr:row>36</xdr:row>
          <xdr:rowOff>0</xdr:rowOff>
        </xdr:to>
        <xdr:sp macro="" textlink="">
          <xdr:nvSpPr>
            <xdr:cNvPr id="25607" name="elembox_05" hidden="1">
              <a:extLst>
                <a:ext uri="{63B3BB69-23CF-44E3-9099-C40C66FF867C}">
                  <a14:compatExt spid="_x0000_s25607"/>
                </a:ext>
                <a:ext uri="{FF2B5EF4-FFF2-40B4-BE49-F238E27FC236}">
                  <a16:creationId xmlns:a16="http://schemas.microsoft.com/office/drawing/2014/main" id="{00000000-0008-0000-0800-00000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18</xdr:row>
          <xdr:rowOff>22860</xdr:rowOff>
        </xdr:from>
        <xdr:to>
          <xdr:col>14</xdr:col>
          <xdr:colOff>1097280</xdr:colOff>
          <xdr:row>36</xdr:row>
          <xdr:rowOff>0</xdr:rowOff>
        </xdr:to>
        <xdr:sp macro="" textlink="">
          <xdr:nvSpPr>
            <xdr:cNvPr id="25608" name="elembox_06" hidden="1">
              <a:extLst>
                <a:ext uri="{63B3BB69-23CF-44E3-9099-C40C66FF867C}">
                  <a14:compatExt spid="_x0000_s25608"/>
                </a:ext>
                <a:ext uri="{FF2B5EF4-FFF2-40B4-BE49-F238E27FC236}">
                  <a16:creationId xmlns:a16="http://schemas.microsoft.com/office/drawing/2014/main" id="{00000000-0008-0000-0800-00000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19</xdr:row>
          <xdr:rowOff>22860</xdr:rowOff>
        </xdr:from>
        <xdr:to>
          <xdr:col>14</xdr:col>
          <xdr:colOff>1097280</xdr:colOff>
          <xdr:row>36</xdr:row>
          <xdr:rowOff>0</xdr:rowOff>
        </xdr:to>
        <xdr:sp macro="" textlink="">
          <xdr:nvSpPr>
            <xdr:cNvPr id="25609" name="elembox_07" hidden="1">
              <a:extLst>
                <a:ext uri="{63B3BB69-23CF-44E3-9099-C40C66FF867C}">
                  <a14:compatExt spid="_x0000_s25609"/>
                </a:ext>
                <a:ext uri="{FF2B5EF4-FFF2-40B4-BE49-F238E27FC236}">
                  <a16:creationId xmlns:a16="http://schemas.microsoft.com/office/drawing/2014/main" id="{00000000-0008-0000-0800-00000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20</xdr:row>
          <xdr:rowOff>22860</xdr:rowOff>
        </xdr:from>
        <xdr:to>
          <xdr:col>14</xdr:col>
          <xdr:colOff>1097280</xdr:colOff>
          <xdr:row>36</xdr:row>
          <xdr:rowOff>0</xdr:rowOff>
        </xdr:to>
        <xdr:sp macro="" textlink="">
          <xdr:nvSpPr>
            <xdr:cNvPr id="25610" name="elembox_08" hidden="1">
              <a:extLst>
                <a:ext uri="{63B3BB69-23CF-44E3-9099-C40C66FF867C}">
                  <a14:compatExt spid="_x0000_s25610"/>
                </a:ext>
                <a:ext uri="{FF2B5EF4-FFF2-40B4-BE49-F238E27FC236}">
                  <a16:creationId xmlns:a16="http://schemas.microsoft.com/office/drawing/2014/main" id="{00000000-0008-0000-0800-00000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21</xdr:row>
          <xdr:rowOff>22860</xdr:rowOff>
        </xdr:from>
        <xdr:to>
          <xdr:col>14</xdr:col>
          <xdr:colOff>1097280</xdr:colOff>
          <xdr:row>36</xdr:row>
          <xdr:rowOff>0</xdr:rowOff>
        </xdr:to>
        <xdr:sp macro="" textlink="">
          <xdr:nvSpPr>
            <xdr:cNvPr id="25611" name="elembox_09" hidden="1">
              <a:extLst>
                <a:ext uri="{63B3BB69-23CF-44E3-9099-C40C66FF867C}">
                  <a14:compatExt spid="_x0000_s25611"/>
                </a:ext>
                <a:ext uri="{FF2B5EF4-FFF2-40B4-BE49-F238E27FC236}">
                  <a16:creationId xmlns:a16="http://schemas.microsoft.com/office/drawing/2014/main" id="{00000000-0008-0000-0800-00000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26</xdr:row>
          <xdr:rowOff>22860</xdr:rowOff>
        </xdr:from>
        <xdr:to>
          <xdr:col>9</xdr:col>
          <xdr:colOff>0</xdr:colOff>
          <xdr:row>36</xdr:row>
          <xdr:rowOff>0</xdr:rowOff>
        </xdr:to>
        <xdr:sp macro="" textlink="">
          <xdr:nvSpPr>
            <xdr:cNvPr id="25612" name="jhsbox_01" hidden="1">
              <a:extLst>
                <a:ext uri="{63B3BB69-23CF-44E3-9099-C40C66FF867C}">
                  <a14:compatExt spid="_x0000_s25612"/>
                </a:ext>
                <a:ext uri="{FF2B5EF4-FFF2-40B4-BE49-F238E27FC236}">
                  <a16:creationId xmlns:a16="http://schemas.microsoft.com/office/drawing/2014/main" id="{00000000-0008-0000-0800-00000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27</xdr:row>
          <xdr:rowOff>22860</xdr:rowOff>
        </xdr:from>
        <xdr:to>
          <xdr:col>9</xdr:col>
          <xdr:colOff>0</xdr:colOff>
          <xdr:row>36</xdr:row>
          <xdr:rowOff>0</xdr:rowOff>
        </xdr:to>
        <xdr:sp macro="" textlink="">
          <xdr:nvSpPr>
            <xdr:cNvPr id="25613" name="jhsbox_02" hidden="1">
              <a:extLst>
                <a:ext uri="{63B3BB69-23CF-44E3-9099-C40C66FF867C}">
                  <a14:compatExt spid="_x0000_s25613"/>
                </a:ext>
                <a:ext uri="{FF2B5EF4-FFF2-40B4-BE49-F238E27FC236}">
                  <a16:creationId xmlns:a16="http://schemas.microsoft.com/office/drawing/2014/main" id="{00000000-0008-0000-0800-00000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28</xdr:row>
          <xdr:rowOff>22860</xdr:rowOff>
        </xdr:from>
        <xdr:to>
          <xdr:col>9</xdr:col>
          <xdr:colOff>0</xdr:colOff>
          <xdr:row>36</xdr:row>
          <xdr:rowOff>0</xdr:rowOff>
        </xdr:to>
        <xdr:sp macro="" textlink="">
          <xdr:nvSpPr>
            <xdr:cNvPr id="25614" name="jhsbox_03" hidden="1">
              <a:extLst>
                <a:ext uri="{63B3BB69-23CF-44E3-9099-C40C66FF867C}">
                  <a14:compatExt spid="_x0000_s25614"/>
                </a:ext>
                <a:ext uri="{FF2B5EF4-FFF2-40B4-BE49-F238E27FC236}">
                  <a16:creationId xmlns:a16="http://schemas.microsoft.com/office/drawing/2014/main" id="{00000000-0008-0000-0800-00000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26</xdr:row>
          <xdr:rowOff>22860</xdr:rowOff>
        </xdr:from>
        <xdr:to>
          <xdr:col>14</xdr:col>
          <xdr:colOff>1097280</xdr:colOff>
          <xdr:row>36</xdr:row>
          <xdr:rowOff>0</xdr:rowOff>
        </xdr:to>
        <xdr:sp macro="" textlink="">
          <xdr:nvSpPr>
            <xdr:cNvPr id="25615" name="jhsbox_04" hidden="1">
              <a:extLst>
                <a:ext uri="{63B3BB69-23CF-44E3-9099-C40C66FF867C}">
                  <a14:compatExt spid="_x0000_s25615"/>
                </a:ext>
                <a:ext uri="{FF2B5EF4-FFF2-40B4-BE49-F238E27FC236}">
                  <a16:creationId xmlns:a16="http://schemas.microsoft.com/office/drawing/2014/main" id="{00000000-0008-0000-0800-00000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27</xdr:row>
          <xdr:rowOff>22860</xdr:rowOff>
        </xdr:from>
        <xdr:to>
          <xdr:col>14</xdr:col>
          <xdr:colOff>1097280</xdr:colOff>
          <xdr:row>36</xdr:row>
          <xdr:rowOff>0</xdr:rowOff>
        </xdr:to>
        <xdr:sp macro="" textlink="">
          <xdr:nvSpPr>
            <xdr:cNvPr id="25616" name="jhsbox_05" hidden="1">
              <a:extLst>
                <a:ext uri="{63B3BB69-23CF-44E3-9099-C40C66FF867C}">
                  <a14:compatExt spid="_x0000_s25616"/>
                </a:ext>
                <a:ext uri="{FF2B5EF4-FFF2-40B4-BE49-F238E27FC236}">
                  <a16:creationId xmlns:a16="http://schemas.microsoft.com/office/drawing/2014/main" id="{00000000-0008-0000-0800-00001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28</xdr:row>
          <xdr:rowOff>22860</xdr:rowOff>
        </xdr:from>
        <xdr:to>
          <xdr:col>14</xdr:col>
          <xdr:colOff>1097280</xdr:colOff>
          <xdr:row>36</xdr:row>
          <xdr:rowOff>0</xdr:rowOff>
        </xdr:to>
        <xdr:sp macro="" textlink="">
          <xdr:nvSpPr>
            <xdr:cNvPr id="25617" name="jhsbox_06" hidden="1">
              <a:extLst>
                <a:ext uri="{63B3BB69-23CF-44E3-9099-C40C66FF867C}">
                  <a14:compatExt spid="_x0000_s25617"/>
                </a:ext>
                <a:ext uri="{FF2B5EF4-FFF2-40B4-BE49-F238E27FC236}">
                  <a16:creationId xmlns:a16="http://schemas.microsoft.com/office/drawing/2014/main" id="{00000000-0008-0000-0800-00001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33</xdr:row>
          <xdr:rowOff>15240</xdr:rowOff>
        </xdr:from>
        <xdr:to>
          <xdr:col>9</xdr:col>
          <xdr:colOff>0</xdr:colOff>
          <xdr:row>36</xdr:row>
          <xdr:rowOff>0</xdr:rowOff>
        </xdr:to>
        <xdr:sp macro="" textlink="">
          <xdr:nvSpPr>
            <xdr:cNvPr id="25618" name="shsbox_01" hidden="1">
              <a:extLst>
                <a:ext uri="{63B3BB69-23CF-44E3-9099-C40C66FF867C}">
                  <a14:compatExt spid="_x0000_s25618"/>
                </a:ext>
                <a:ext uri="{FF2B5EF4-FFF2-40B4-BE49-F238E27FC236}">
                  <a16:creationId xmlns:a16="http://schemas.microsoft.com/office/drawing/2014/main" id="{00000000-0008-0000-0800-00001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34</xdr:row>
          <xdr:rowOff>15240</xdr:rowOff>
        </xdr:from>
        <xdr:to>
          <xdr:col>9</xdr:col>
          <xdr:colOff>0</xdr:colOff>
          <xdr:row>36</xdr:row>
          <xdr:rowOff>0</xdr:rowOff>
        </xdr:to>
        <xdr:sp macro="" textlink="">
          <xdr:nvSpPr>
            <xdr:cNvPr id="25619" name="shsbox_02" hidden="1">
              <a:extLst>
                <a:ext uri="{63B3BB69-23CF-44E3-9099-C40C66FF867C}">
                  <a14:compatExt spid="_x0000_s25619"/>
                </a:ext>
                <a:ext uri="{FF2B5EF4-FFF2-40B4-BE49-F238E27FC236}">
                  <a16:creationId xmlns:a16="http://schemas.microsoft.com/office/drawing/2014/main" id="{00000000-0008-0000-0800-00001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33</xdr:row>
          <xdr:rowOff>15240</xdr:rowOff>
        </xdr:from>
        <xdr:to>
          <xdr:col>14</xdr:col>
          <xdr:colOff>1097280</xdr:colOff>
          <xdr:row>36</xdr:row>
          <xdr:rowOff>0</xdr:rowOff>
        </xdr:to>
        <xdr:sp macro="" textlink="">
          <xdr:nvSpPr>
            <xdr:cNvPr id="25620" name="shsbox_03" hidden="1">
              <a:extLst>
                <a:ext uri="{63B3BB69-23CF-44E3-9099-C40C66FF867C}">
                  <a14:compatExt spid="_x0000_s25620"/>
                </a:ext>
                <a:ext uri="{FF2B5EF4-FFF2-40B4-BE49-F238E27FC236}">
                  <a16:creationId xmlns:a16="http://schemas.microsoft.com/office/drawing/2014/main" id="{00000000-0008-0000-0800-00001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38</xdr:row>
          <xdr:rowOff>15240</xdr:rowOff>
        </xdr:from>
        <xdr:to>
          <xdr:col>9</xdr:col>
          <xdr:colOff>0</xdr:colOff>
          <xdr:row>38</xdr:row>
          <xdr:rowOff>243840</xdr:rowOff>
        </xdr:to>
        <xdr:sp macro="" textlink="">
          <xdr:nvSpPr>
            <xdr:cNvPr id="25621" name="specialization_01" hidden="1">
              <a:extLst>
                <a:ext uri="{63B3BB69-23CF-44E3-9099-C40C66FF867C}">
                  <a14:compatExt spid="_x0000_s25621"/>
                </a:ext>
                <a:ext uri="{FF2B5EF4-FFF2-40B4-BE49-F238E27FC236}">
                  <a16:creationId xmlns:a16="http://schemas.microsoft.com/office/drawing/2014/main" id="{00000000-0008-0000-0800-00001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39</xdr:row>
          <xdr:rowOff>15240</xdr:rowOff>
        </xdr:from>
        <xdr:to>
          <xdr:col>9</xdr:col>
          <xdr:colOff>0</xdr:colOff>
          <xdr:row>39</xdr:row>
          <xdr:rowOff>243840</xdr:rowOff>
        </xdr:to>
        <xdr:sp macro="" textlink="">
          <xdr:nvSpPr>
            <xdr:cNvPr id="25622" name="specialization_02" hidden="1">
              <a:extLst>
                <a:ext uri="{63B3BB69-23CF-44E3-9099-C40C66FF867C}">
                  <a14:compatExt spid="_x0000_s25622"/>
                </a:ext>
                <a:ext uri="{FF2B5EF4-FFF2-40B4-BE49-F238E27FC236}">
                  <a16:creationId xmlns:a16="http://schemas.microsoft.com/office/drawing/2014/main" id="{00000000-0008-0000-0800-00001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40</xdr:row>
          <xdr:rowOff>15240</xdr:rowOff>
        </xdr:from>
        <xdr:to>
          <xdr:col>9</xdr:col>
          <xdr:colOff>0</xdr:colOff>
          <xdr:row>40</xdr:row>
          <xdr:rowOff>243840</xdr:rowOff>
        </xdr:to>
        <xdr:sp macro="" textlink="">
          <xdr:nvSpPr>
            <xdr:cNvPr id="25623" name="specialization_03" hidden="1">
              <a:extLst>
                <a:ext uri="{63B3BB69-23CF-44E3-9099-C40C66FF867C}">
                  <a14:compatExt spid="_x0000_s25623"/>
                </a:ext>
                <a:ext uri="{FF2B5EF4-FFF2-40B4-BE49-F238E27FC236}">
                  <a16:creationId xmlns:a16="http://schemas.microsoft.com/office/drawing/2014/main" id="{00000000-0008-0000-0800-00001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41</xdr:row>
          <xdr:rowOff>15240</xdr:rowOff>
        </xdr:from>
        <xdr:to>
          <xdr:col>9</xdr:col>
          <xdr:colOff>0</xdr:colOff>
          <xdr:row>41</xdr:row>
          <xdr:rowOff>243840</xdr:rowOff>
        </xdr:to>
        <xdr:sp macro="" textlink="">
          <xdr:nvSpPr>
            <xdr:cNvPr id="25624" name="specialization_04" hidden="1">
              <a:extLst>
                <a:ext uri="{63B3BB69-23CF-44E3-9099-C40C66FF867C}">
                  <a14:compatExt spid="_x0000_s25624"/>
                </a:ext>
                <a:ext uri="{FF2B5EF4-FFF2-40B4-BE49-F238E27FC236}">
                  <a16:creationId xmlns:a16="http://schemas.microsoft.com/office/drawing/2014/main" id="{00000000-0008-0000-0800-00001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42</xdr:row>
          <xdr:rowOff>15240</xdr:rowOff>
        </xdr:from>
        <xdr:to>
          <xdr:col>9</xdr:col>
          <xdr:colOff>0</xdr:colOff>
          <xdr:row>42</xdr:row>
          <xdr:rowOff>243840</xdr:rowOff>
        </xdr:to>
        <xdr:sp macro="" textlink="">
          <xdr:nvSpPr>
            <xdr:cNvPr id="25625" name="specialization_05" hidden="1">
              <a:extLst>
                <a:ext uri="{63B3BB69-23CF-44E3-9099-C40C66FF867C}">
                  <a14:compatExt spid="_x0000_s25625"/>
                </a:ext>
                <a:ext uri="{FF2B5EF4-FFF2-40B4-BE49-F238E27FC236}">
                  <a16:creationId xmlns:a16="http://schemas.microsoft.com/office/drawing/2014/main" id="{00000000-0008-0000-0800-00001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43</xdr:row>
          <xdr:rowOff>15240</xdr:rowOff>
        </xdr:from>
        <xdr:to>
          <xdr:col>9</xdr:col>
          <xdr:colOff>0</xdr:colOff>
          <xdr:row>43</xdr:row>
          <xdr:rowOff>243840</xdr:rowOff>
        </xdr:to>
        <xdr:sp macro="" textlink="">
          <xdr:nvSpPr>
            <xdr:cNvPr id="25626" name="specialization_06" hidden="1">
              <a:extLst>
                <a:ext uri="{63B3BB69-23CF-44E3-9099-C40C66FF867C}">
                  <a14:compatExt spid="_x0000_s25626"/>
                </a:ext>
                <a:ext uri="{FF2B5EF4-FFF2-40B4-BE49-F238E27FC236}">
                  <a16:creationId xmlns:a16="http://schemas.microsoft.com/office/drawing/2014/main" id="{00000000-0008-0000-0800-00001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44</xdr:row>
          <xdr:rowOff>15240</xdr:rowOff>
        </xdr:from>
        <xdr:to>
          <xdr:col>9</xdr:col>
          <xdr:colOff>0</xdr:colOff>
          <xdr:row>44</xdr:row>
          <xdr:rowOff>243840</xdr:rowOff>
        </xdr:to>
        <xdr:sp macro="" textlink="">
          <xdr:nvSpPr>
            <xdr:cNvPr id="25627" name="specialization_07" hidden="1">
              <a:extLst>
                <a:ext uri="{63B3BB69-23CF-44E3-9099-C40C66FF867C}">
                  <a14:compatExt spid="_x0000_s25627"/>
                </a:ext>
                <a:ext uri="{FF2B5EF4-FFF2-40B4-BE49-F238E27FC236}">
                  <a16:creationId xmlns:a16="http://schemas.microsoft.com/office/drawing/2014/main" id="{00000000-0008-0000-0800-00001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45</xdr:row>
          <xdr:rowOff>15240</xdr:rowOff>
        </xdr:from>
        <xdr:to>
          <xdr:col>9</xdr:col>
          <xdr:colOff>0</xdr:colOff>
          <xdr:row>45</xdr:row>
          <xdr:rowOff>243840</xdr:rowOff>
        </xdr:to>
        <xdr:sp macro="" textlink="">
          <xdr:nvSpPr>
            <xdr:cNvPr id="25628" name="specialization_08" hidden="1">
              <a:extLst>
                <a:ext uri="{63B3BB69-23CF-44E3-9099-C40C66FF867C}">
                  <a14:compatExt spid="_x0000_s25628"/>
                </a:ext>
                <a:ext uri="{FF2B5EF4-FFF2-40B4-BE49-F238E27FC236}">
                  <a16:creationId xmlns:a16="http://schemas.microsoft.com/office/drawing/2014/main" id="{00000000-0008-0000-0800-00001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46</xdr:row>
          <xdr:rowOff>15240</xdr:rowOff>
        </xdr:from>
        <xdr:to>
          <xdr:col>9</xdr:col>
          <xdr:colOff>0</xdr:colOff>
          <xdr:row>46</xdr:row>
          <xdr:rowOff>243840</xdr:rowOff>
        </xdr:to>
        <xdr:sp macro="" textlink="">
          <xdr:nvSpPr>
            <xdr:cNvPr id="25629" name="specialization_09" hidden="1">
              <a:extLst>
                <a:ext uri="{63B3BB69-23CF-44E3-9099-C40C66FF867C}">
                  <a14:compatExt spid="_x0000_s25629"/>
                </a:ext>
                <a:ext uri="{FF2B5EF4-FFF2-40B4-BE49-F238E27FC236}">
                  <a16:creationId xmlns:a16="http://schemas.microsoft.com/office/drawing/2014/main" id="{00000000-0008-0000-0800-00001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38</xdr:row>
          <xdr:rowOff>15240</xdr:rowOff>
        </xdr:from>
        <xdr:to>
          <xdr:col>14</xdr:col>
          <xdr:colOff>1089660</xdr:colOff>
          <xdr:row>38</xdr:row>
          <xdr:rowOff>243840</xdr:rowOff>
        </xdr:to>
        <xdr:sp macro="" textlink="">
          <xdr:nvSpPr>
            <xdr:cNvPr id="25630" name="specialization_10" hidden="1">
              <a:extLst>
                <a:ext uri="{63B3BB69-23CF-44E3-9099-C40C66FF867C}">
                  <a14:compatExt spid="_x0000_s25630"/>
                </a:ext>
                <a:ext uri="{FF2B5EF4-FFF2-40B4-BE49-F238E27FC236}">
                  <a16:creationId xmlns:a16="http://schemas.microsoft.com/office/drawing/2014/main" id="{00000000-0008-0000-0800-00001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39</xdr:row>
          <xdr:rowOff>15240</xdr:rowOff>
        </xdr:from>
        <xdr:to>
          <xdr:col>14</xdr:col>
          <xdr:colOff>1089660</xdr:colOff>
          <xdr:row>39</xdr:row>
          <xdr:rowOff>243840</xdr:rowOff>
        </xdr:to>
        <xdr:sp macro="" textlink="">
          <xdr:nvSpPr>
            <xdr:cNvPr id="25631" name="specialization_11" hidden="1">
              <a:extLst>
                <a:ext uri="{63B3BB69-23CF-44E3-9099-C40C66FF867C}">
                  <a14:compatExt spid="_x0000_s25631"/>
                </a:ext>
                <a:ext uri="{FF2B5EF4-FFF2-40B4-BE49-F238E27FC236}">
                  <a16:creationId xmlns:a16="http://schemas.microsoft.com/office/drawing/2014/main" id="{00000000-0008-0000-0800-00001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40</xdr:row>
          <xdr:rowOff>15240</xdr:rowOff>
        </xdr:from>
        <xdr:to>
          <xdr:col>14</xdr:col>
          <xdr:colOff>1089660</xdr:colOff>
          <xdr:row>40</xdr:row>
          <xdr:rowOff>243840</xdr:rowOff>
        </xdr:to>
        <xdr:sp macro="" textlink="">
          <xdr:nvSpPr>
            <xdr:cNvPr id="25632" name="specialization_12" hidden="1">
              <a:extLst>
                <a:ext uri="{63B3BB69-23CF-44E3-9099-C40C66FF867C}">
                  <a14:compatExt spid="_x0000_s25632"/>
                </a:ext>
                <a:ext uri="{FF2B5EF4-FFF2-40B4-BE49-F238E27FC236}">
                  <a16:creationId xmlns:a16="http://schemas.microsoft.com/office/drawing/2014/main" id="{00000000-0008-0000-0800-00002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41</xdr:row>
          <xdr:rowOff>15240</xdr:rowOff>
        </xdr:from>
        <xdr:to>
          <xdr:col>14</xdr:col>
          <xdr:colOff>1089660</xdr:colOff>
          <xdr:row>41</xdr:row>
          <xdr:rowOff>243840</xdr:rowOff>
        </xdr:to>
        <xdr:sp macro="" textlink="">
          <xdr:nvSpPr>
            <xdr:cNvPr id="25633" name="specialization_13" hidden="1">
              <a:extLst>
                <a:ext uri="{63B3BB69-23CF-44E3-9099-C40C66FF867C}">
                  <a14:compatExt spid="_x0000_s25633"/>
                </a:ext>
                <a:ext uri="{FF2B5EF4-FFF2-40B4-BE49-F238E27FC236}">
                  <a16:creationId xmlns:a16="http://schemas.microsoft.com/office/drawing/2014/main" id="{00000000-0008-0000-0800-00002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42</xdr:row>
          <xdr:rowOff>15240</xdr:rowOff>
        </xdr:from>
        <xdr:to>
          <xdr:col>14</xdr:col>
          <xdr:colOff>1089660</xdr:colOff>
          <xdr:row>42</xdr:row>
          <xdr:rowOff>243840</xdr:rowOff>
        </xdr:to>
        <xdr:sp macro="" textlink="">
          <xdr:nvSpPr>
            <xdr:cNvPr id="25634" name="specialization_14" hidden="1">
              <a:extLst>
                <a:ext uri="{63B3BB69-23CF-44E3-9099-C40C66FF867C}">
                  <a14:compatExt spid="_x0000_s25634"/>
                </a:ext>
                <a:ext uri="{FF2B5EF4-FFF2-40B4-BE49-F238E27FC236}">
                  <a16:creationId xmlns:a16="http://schemas.microsoft.com/office/drawing/2014/main" id="{00000000-0008-0000-0800-00002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43</xdr:row>
          <xdr:rowOff>15240</xdr:rowOff>
        </xdr:from>
        <xdr:to>
          <xdr:col>14</xdr:col>
          <xdr:colOff>1089660</xdr:colOff>
          <xdr:row>43</xdr:row>
          <xdr:rowOff>243840</xdr:rowOff>
        </xdr:to>
        <xdr:sp macro="" textlink="">
          <xdr:nvSpPr>
            <xdr:cNvPr id="25635" name="specialization_15" hidden="1">
              <a:extLst>
                <a:ext uri="{63B3BB69-23CF-44E3-9099-C40C66FF867C}">
                  <a14:compatExt spid="_x0000_s25635"/>
                </a:ext>
                <a:ext uri="{FF2B5EF4-FFF2-40B4-BE49-F238E27FC236}">
                  <a16:creationId xmlns:a16="http://schemas.microsoft.com/office/drawing/2014/main" id="{00000000-0008-0000-0800-00002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44</xdr:row>
          <xdr:rowOff>15240</xdr:rowOff>
        </xdr:from>
        <xdr:to>
          <xdr:col>14</xdr:col>
          <xdr:colOff>1089660</xdr:colOff>
          <xdr:row>44</xdr:row>
          <xdr:rowOff>243840</xdr:rowOff>
        </xdr:to>
        <xdr:sp macro="" textlink="">
          <xdr:nvSpPr>
            <xdr:cNvPr id="25636" name="specialization_16" hidden="1">
              <a:extLst>
                <a:ext uri="{63B3BB69-23CF-44E3-9099-C40C66FF867C}">
                  <a14:compatExt spid="_x0000_s25636"/>
                </a:ext>
                <a:ext uri="{FF2B5EF4-FFF2-40B4-BE49-F238E27FC236}">
                  <a16:creationId xmlns:a16="http://schemas.microsoft.com/office/drawing/2014/main" id="{00000000-0008-0000-0800-00002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45</xdr:row>
          <xdr:rowOff>15240</xdr:rowOff>
        </xdr:from>
        <xdr:to>
          <xdr:col>14</xdr:col>
          <xdr:colOff>1089660</xdr:colOff>
          <xdr:row>45</xdr:row>
          <xdr:rowOff>243840</xdr:rowOff>
        </xdr:to>
        <xdr:sp macro="" textlink="">
          <xdr:nvSpPr>
            <xdr:cNvPr id="25637" name="specialization_17" hidden="1">
              <a:extLst>
                <a:ext uri="{63B3BB69-23CF-44E3-9099-C40C66FF867C}">
                  <a14:compatExt spid="_x0000_s25637"/>
                </a:ext>
                <a:ext uri="{FF2B5EF4-FFF2-40B4-BE49-F238E27FC236}">
                  <a16:creationId xmlns:a16="http://schemas.microsoft.com/office/drawing/2014/main" id="{00000000-0008-0000-0800-00002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50</xdr:row>
          <xdr:rowOff>15240</xdr:rowOff>
        </xdr:from>
        <xdr:to>
          <xdr:col>9</xdr:col>
          <xdr:colOff>0</xdr:colOff>
          <xdr:row>62</xdr:row>
          <xdr:rowOff>0</xdr:rowOff>
        </xdr:to>
        <xdr:sp macro="" textlink="">
          <xdr:nvSpPr>
            <xdr:cNvPr id="25638" name="subjectsbox_01" hidden="1">
              <a:extLst>
                <a:ext uri="{63B3BB69-23CF-44E3-9099-C40C66FF867C}">
                  <a14:compatExt spid="_x0000_s25638"/>
                </a:ext>
                <a:ext uri="{FF2B5EF4-FFF2-40B4-BE49-F238E27FC236}">
                  <a16:creationId xmlns:a16="http://schemas.microsoft.com/office/drawing/2014/main" id="{00000000-0008-0000-0800-00002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51</xdr:row>
          <xdr:rowOff>15240</xdr:rowOff>
        </xdr:from>
        <xdr:to>
          <xdr:col>9</xdr:col>
          <xdr:colOff>0</xdr:colOff>
          <xdr:row>62</xdr:row>
          <xdr:rowOff>0</xdr:rowOff>
        </xdr:to>
        <xdr:sp macro="" textlink="">
          <xdr:nvSpPr>
            <xdr:cNvPr id="25639" name="subjectsbox_02" hidden="1">
              <a:extLst>
                <a:ext uri="{63B3BB69-23CF-44E3-9099-C40C66FF867C}">
                  <a14:compatExt spid="_x0000_s25639"/>
                </a:ext>
                <a:ext uri="{FF2B5EF4-FFF2-40B4-BE49-F238E27FC236}">
                  <a16:creationId xmlns:a16="http://schemas.microsoft.com/office/drawing/2014/main" id="{00000000-0008-0000-0800-00002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52</xdr:row>
          <xdr:rowOff>15240</xdr:rowOff>
        </xdr:from>
        <xdr:to>
          <xdr:col>9</xdr:col>
          <xdr:colOff>0</xdr:colOff>
          <xdr:row>62</xdr:row>
          <xdr:rowOff>0</xdr:rowOff>
        </xdr:to>
        <xdr:sp macro="" textlink="">
          <xdr:nvSpPr>
            <xdr:cNvPr id="25640" name="subjectsbox_03" hidden="1">
              <a:extLst>
                <a:ext uri="{63B3BB69-23CF-44E3-9099-C40C66FF867C}">
                  <a14:compatExt spid="_x0000_s25640"/>
                </a:ext>
                <a:ext uri="{FF2B5EF4-FFF2-40B4-BE49-F238E27FC236}">
                  <a16:creationId xmlns:a16="http://schemas.microsoft.com/office/drawing/2014/main" id="{00000000-0008-0000-0800-00002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53</xdr:row>
          <xdr:rowOff>15240</xdr:rowOff>
        </xdr:from>
        <xdr:to>
          <xdr:col>9</xdr:col>
          <xdr:colOff>0</xdr:colOff>
          <xdr:row>62</xdr:row>
          <xdr:rowOff>0</xdr:rowOff>
        </xdr:to>
        <xdr:sp macro="" textlink="">
          <xdr:nvSpPr>
            <xdr:cNvPr id="25641" name="subjectsbox_04" hidden="1">
              <a:extLst>
                <a:ext uri="{63B3BB69-23CF-44E3-9099-C40C66FF867C}">
                  <a14:compatExt spid="_x0000_s25641"/>
                </a:ext>
                <a:ext uri="{FF2B5EF4-FFF2-40B4-BE49-F238E27FC236}">
                  <a16:creationId xmlns:a16="http://schemas.microsoft.com/office/drawing/2014/main" id="{00000000-0008-0000-0800-00002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54</xdr:row>
          <xdr:rowOff>15240</xdr:rowOff>
        </xdr:from>
        <xdr:to>
          <xdr:col>9</xdr:col>
          <xdr:colOff>0</xdr:colOff>
          <xdr:row>62</xdr:row>
          <xdr:rowOff>0</xdr:rowOff>
        </xdr:to>
        <xdr:sp macro="" textlink="">
          <xdr:nvSpPr>
            <xdr:cNvPr id="25642" name="subjectsbox_05" hidden="1">
              <a:extLst>
                <a:ext uri="{63B3BB69-23CF-44E3-9099-C40C66FF867C}">
                  <a14:compatExt spid="_x0000_s25642"/>
                </a:ext>
                <a:ext uri="{FF2B5EF4-FFF2-40B4-BE49-F238E27FC236}">
                  <a16:creationId xmlns:a16="http://schemas.microsoft.com/office/drawing/2014/main" id="{00000000-0008-0000-0800-00002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55</xdr:row>
          <xdr:rowOff>15240</xdr:rowOff>
        </xdr:from>
        <xdr:to>
          <xdr:col>9</xdr:col>
          <xdr:colOff>0</xdr:colOff>
          <xdr:row>62</xdr:row>
          <xdr:rowOff>0</xdr:rowOff>
        </xdr:to>
        <xdr:sp macro="" textlink="">
          <xdr:nvSpPr>
            <xdr:cNvPr id="25643" name="subjectsbox_06" hidden="1">
              <a:extLst>
                <a:ext uri="{63B3BB69-23CF-44E3-9099-C40C66FF867C}">
                  <a14:compatExt spid="_x0000_s25643"/>
                </a:ext>
                <a:ext uri="{FF2B5EF4-FFF2-40B4-BE49-F238E27FC236}">
                  <a16:creationId xmlns:a16="http://schemas.microsoft.com/office/drawing/2014/main" id="{00000000-0008-0000-0800-00002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56</xdr:row>
          <xdr:rowOff>15240</xdr:rowOff>
        </xdr:from>
        <xdr:to>
          <xdr:col>9</xdr:col>
          <xdr:colOff>0</xdr:colOff>
          <xdr:row>62</xdr:row>
          <xdr:rowOff>0</xdr:rowOff>
        </xdr:to>
        <xdr:sp macro="" textlink="">
          <xdr:nvSpPr>
            <xdr:cNvPr id="25644" name="subjectsbox_07" hidden="1">
              <a:extLst>
                <a:ext uri="{63B3BB69-23CF-44E3-9099-C40C66FF867C}">
                  <a14:compatExt spid="_x0000_s25644"/>
                </a:ext>
                <a:ext uri="{FF2B5EF4-FFF2-40B4-BE49-F238E27FC236}">
                  <a16:creationId xmlns:a16="http://schemas.microsoft.com/office/drawing/2014/main" id="{00000000-0008-0000-0800-00002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57</xdr:row>
          <xdr:rowOff>15240</xdr:rowOff>
        </xdr:from>
        <xdr:to>
          <xdr:col>9</xdr:col>
          <xdr:colOff>0</xdr:colOff>
          <xdr:row>62</xdr:row>
          <xdr:rowOff>0</xdr:rowOff>
        </xdr:to>
        <xdr:sp macro="" textlink="">
          <xdr:nvSpPr>
            <xdr:cNvPr id="25645" name="subjectsbox_08" hidden="1">
              <a:extLst>
                <a:ext uri="{63B3BB69-23CF-44E3-9099-C40C66FF867C}">
                  <a14:compatExt spid="_x0000_s25645"/>
                </a:ext>
                <a:ext uri="{FF2B5EF4-FFF2-40B4-BE49-F238E27FC236}">
                  <a16:creationId xmlns:a16="http://schemas.microsoft.com/office/drawing/2014/main" id="{00000000-0008-0000-0800-00002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58</xdr:row>
          <xdr:rowOff>15240</xdr:rowOff>
        </xdr:from>
        <xdr:to>
          <xdr:col>9</xdr:col>
          <xdr:colOff>0</xdr:colOff>
          <xdr:row>62</xdr:row>
          <xdr:rowOff>0</xdr:rowOff>
        </xdr:to>
        <xdr:sp macro="" textlink="">
          <xdr:nvSpPr>
            <xdr:cNvPr id="25646" name="subjectsbox_09" hidden="1">
              <a:extLst>
                <a:ext uri="{63B3BB69-23CF-44E3-9099-C40C66FF867C}">
                  <a14:compatExt spid="_x0000_s25646"/>
                </a:ext>
                <a:ext uri="{FF2B5EF4-FFF2-40B4-BE49-F238E27FC236}">
                  <a16:creationId xmlns:a16="http://schemas.microsoft.com/office/drawing/2014/main" id="{00000000-0008-0000-0800-00002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59</xdr:row>
          <xdr:rowOff>15240</xdr:rowOff>
        </xdr:from>
        <xdr:to>
          <xdr:col>9</xdr:col>
          <xdr:colOff>0</xdr:colOff>
          <xdr:row>62</xdr:row>
          <xdr:rowOff>0</xdr:rowOff>
        </xdr:to>
        <xdr:sp macro="" textlink="">
          <xdr:nvSpPr>
            <xdr:cNvPr id="25647" name="subjectsbox_10" hidden="1">
              <a:extLst>
                <a:ext uri="{63B3BB69-23CF-44E3-9099-C40C66FF867C}">
                  <a14:compatExt spid="_x0000_s25647"/>
                </a:ext>
                <a:ext uri="{FF2B5EF4-FFF2-40B4-BE49-F238E27FC236}">
                  <a16:creationId xmlns:a16="http://schemas.microsoft.com/office/drawing/2014/main" id="{00000000-0008-0000-0800-00002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60</xdr:row>
          <xdr:rowOff>15240</xdr:rowOff>
        </xdr:from>
        <xdr:to>
          <xdr:col>9</xdr:col>
          <xdr:colOff>0</xdr:colOff>
          <xdr:row>62</xdr:row>
          <xdr:rowOff>0</xdr:rowOff>
        </xdr:to>
        <xdr:sp macro="" textlink="">
          <xdr:nvSpPr>
            <xdr:cNvPr id="25648" name="subjectsbox_11" hidden="1">
              <a:extLst>
                <a:ext uri="{63B3BB69-23CF-44E3-9099-C40C66FF867C}">
                  <a14:compatExt spid="_x0000_s25648"/>
                </a:ext>
                <a:ext uri="{FF2B5EF4-FFF2-40B4-BE49-F238E27FC236}">
                  <a16:creationId xmlns:a16="http://schemas.microsoft.com/office/drawing/2014/main" id="{00000000-0008-0000-0800-00003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50</xdr:row>
          <xdr:rowOff>15240</xdr:rowOff>
        </xdr:from>
        <xdr:to>
          <xdr:col>14</xdr:col>
          <xdr:colOff>1097280</xdr:colOff>
          <xdr:row>62</xdr:row>
          <xdr:rowOff>0</xdr:rowOff>
        </xdr:to>
        <xdr:sp macro="" textlink="">
          <xdr:nvSpPr>
            <xdr:cNvPr id="25649" name="subjectsbox_12" hidden="1">
              <a:extLst>
                <a:ext uri="{63B3BB69-23CF-44E3-9099-C40C66FF867C}">
                  <a14:compatExt spid="_x0000_s25649"/>
                </a:ext>
                <a:ext uri="{FF2B5EF4-FFF2-40B4-BE49-F238E27FC236}">
                  <a16:creationId xmlns:a16="http://schemas.microsoft.com/office/drawing/2014/main" id="{00000000-0008-0000-0800-00003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51</xdr:row>
          <xdr:rowOff>15240</xdr:rowOff>
        </xdr:from>
        <xdr:to>
          <xdr:col>14</xdr:col>
          <xdr:colOff>1097280</xdr:colOff>
          <xdr:row>62</xdr:row>
          <xdr:rowOff>0</xdr:rowOff>
        </xdr:to>
        <xdr:sp macro="" textlink="">
          <xdr:nvSpPr>
            <xdr:cNvPr id="25650" name="subjectsbox_13" hidden="1">
              <a:extLst>
                <a:ext uri="{63B3BB69-23CF-44E3-9099-C40C66FF867C}">
                  <a14:compatExt spid="_x0000_s25650"/>
                </a:ext>
                <a:ext uri="{FF2B5EF4-FFF2-40B4-BE49-F238E27FC236}">
                  <a16:creationId xmlns:a16="http://schemas.microsoft.com/office/drawing/2014/main" id="{00000000-0008-0000-0800-00003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52</xdr:row>
          <xdr:rowOff>15240</xdr:rowOff>
        </xdr:from>
        <xdr:to>
          <xdr:col>14</xdr:col>
          <xdr:colOff>1097280</xdr:colOff>
          <xdr:row>62</xdr:row>
          <xdr:rowOff>0</xdr:rowOff>
        </xdr:to>
        <xdr:sp macro="" textlink="">
          <xdr:nvSpPr>
            <xdr:cNvPr id="25651" name="subjectsbox_14" hidden="1">
              <a:extLst>
                <a:ext uri="{63B3BB69-23CF-44E3-9099-C40C66FF867C}">
                  <a14:compatExt spid="_x0000_s25651"/>
                </a:ext>
                <a:ext uri="{FF2B5EF4-FFF2-40B4-BE49-F238E27FC236}">
                  <a16:creationId xmlns:a16="http://schemas.microsoft.com/office/drawing/2014/main" id="{00000000-0008-0000-0800-00003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53</xdr:row>
          <xdr:rowOff>15240</xdr:rowOff>
        </xdr:from>
        <xdr:to>
          <xdr:col>14</xdr:col>
          <xdr:colOff>1097280</xdr:colOff>
          <xdr:row>62</xdr:row>
          <xdr:rowOff>0</xdr:rowOff>
        </xdr:to>
        <xdr:sp macro="" textlink="">
          <xdr:nvSpPr>
            <xdr:cNvPr id="25652" name="subjectsbox_15" hidden="1">
              <a:extLst>
                <a:ext uri="{63B3BB69-23CF-44E3-9099-C40C66FF867C}">
                  <a14:compatExt spid="_x0000_s25652"/>
                </a:ext>
                <a:ext uri="{FF2B5EF4-FFF2-40B4-BE49-F238E27FC236}">
                  <a16:creationId xmlns:a16="http://schemas.microsoft.com/office/drawing/2014/main" id="{00000000-0008-0000-0800-00003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54</xdr:row>
          <xdr:rowOff>15240</xdr:rowOff>
        </xdr:from>
        <xdr:to>
          <xdr:col>14</xdr:col>
          <xdr:colOff>1097280</xdr:colOff>
          <xdr:row>62</xdr:row>
          <xdr:rowOff>0</xdr:rowOff>
        </xdr:to>
        <xdr:sp macro="" textlink="">
          <xdr:nvSpPr>
            <xdr:cNvPr id="25653" name="subjectsbox_16" hidden="1">
              <a:extLst>
                <a:ext uri="{63B3BB69-23CF-44E3-9099-C40C66FF867C}">
                  <a14:compatExt spid="_x0000_s25653"/>
                </a:ext>
                <a:ext uri="{FF2B5EF4-FFF2-40B4-BE49-F238E27FC236}">
                  <a16:creationId xmlns:a16="http://schemas.microsoft.com/office/drawing/2014/main" id="{00000000-0008-0000-0800-00003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55</xdr:row>
          <xdr:rowOff>15240</xdr:rowOff>
        </xdr:from>
        <xdr:to>
          <xdr:col>14</xdr:col>
          <xdr:colOff>1097280</xdr:colOff>
          <xdr:row>62</xdr:row>
          <xdr:rowOff>0</xdr:rowOff>
        </xdr:to>
        <xdr:sp macro="" textlink="">
          <xdr:nvSpPr>
            <xdr:cNvPr id="25654" name="subjectsbox_17" hidden="1">
              <a:extLst>
                <a:ext uri="{63B3BB69-23CF-44E3-9099-C40C66FF867C}">
                  <a14:compatExt spid="_x0000_s25654"/>
                </a:ext>
                <a:ext uri="{FF2B5EF4-FFF2-40B4-BE49-F238E27FC236}">
                  <a16:creationId xmlns:a16="http://schemas.microsoft.com/office/drawing/2014/main" id="{00000000-0008-0000-0800-00003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56</xdr:row>
          <xdr:rowOff>15240</xdr:rowOff>
        </xdr:from>
        <xdr:to>
          <xdr:col>14</xdr:col>
          <xdr:colOff>1097280</xdr:colOff>
          <xdr:row>62</xdr:row>
          <xdr:rowOff>0</xdr:rowOff>
        </xdr:to>
        <xdr:sp macro="" textlink="">
          <xdr:nvSpPr>
            <xdr:cNvPr id="25655" name="subjectsbox_18" hidden="1">
              <a:extLst>
                <a:ext uri="{63B3BB69-23CF-44E3-9099-C40C66FF867C}">
                  <a14:compatExt spid="_x0000_s25655"/>
                </a:ext>
                <a:ext uri="{FF2B5EF4-FFF2-40B4-BE49-F238E27FC236}">
                  <a16:creationId xmlns:a16="http://schemas.microsoft.com/office/drawing/2014/main" id="{00000000-0008-0000-0800-00003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57</xdr:row>
          <xdr:rowOff>15240</xdr:rowOff>
        </xdr:from>
        <xdr:to>
          <xdr:col>14</xdr:col>
          <xdr:colOff>1097280</xdr:colOff>
          <xdr:row>62</xdr:row>
          <xdr:rowOff>0</xdr:rowOff>
        </xdr:to>
        <xdr:sp macro="" textlink="">
          <xdr:nvSpPr>
            <xdr:cNvPr id="25656" name="subjectsbox_19" hidden="1">
              <a:extLst>
                <a:ext uri="{63B3BB69-23CF-44E3-9099-C40C66FF867C}">
                  <a14:compatExt spid="_x0000_s25656"/>
                </a:ext>
                <a:ext uri="{FF2B5EF4-FFF2-40B4-BE49-F238E27FC236}">
                  <a16:creationId xmlns:a16="http://schemas.microsoft.com/office/drawing/2014/main" id="{00000000-0008-0000-0800-00003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59</xdr:row>
          <xdr:rowOff>15240</xdr:rowOff>
        </xdr:from>
        <xdr:to>
          <xdr:col>14</xdr:col>
          <xdr:colOff>1097280</xdr:colOff>
          <xdr:row>62</xdr:row>
          <xdr:rowOff>0</xdr:rowOff>
        </xdr:to>
        <xdr:sp macro="" textlink="">
          <xdr:nvSpPr>
            <xdr:cNvPr id="25657" name="subjectsbox_20" hidden="1">
              <a:extLst>
                <a:ext uri="{63B3BB69-23CF-44E3-9099-C40C66FF867C}">
                  <a14:compatExt spid="_x0000_s25657"/>
                </a:ext>
                <a:ext uri="{FF2B5EF4-FFF2-40B4-BE49-F238E27FC236}">
                  <a16:creationId xmlns:a16="http://schemas.microsoft.com/office/drawing/2014/main" id="{00000000-0008-0000-0800-00003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64</xdr:row>
          <xdr:rowOff>15240</xdr:rowOff>
        </xdr:from>
        <xdr:to>
          <xdr:col>9</xdr:col>
          <xdr:colOff>0</xdr:colOff>
          <xdr:row>64</xdr:row>
          <xdr:rowOff>15240</xdr:rowOff>
        </xdr:to>
        <xdr:sp macro="" textlink="">
          <xdr:nvSpPr>
            <xdr:cNvPr id="25658" name="strandsbox_01" hidden="1">
              <a:extLst>
                <a:ext uri="{63B3BB69-23CF-44E3-9099-C40C66FF867C}">
                  <a14:compatExt spid="_x0000_s25658"/>
                </a:ext>
                <a:ext uri="{FF2B5EF4-FFF2-40B4-BE49-F238E27FC236}">
                  <a16:creationId xmlns:a16="http://schemas.microsoft.com/office/drawing/2014/main" id="{00000000-0008-0000-0800-00003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65</xdr:row>
          <xdr:rowOff>15240</xdr:rowOff>
        </xdr:from>
        <xdr:to>
          <xdr:col>9</xdr:col>
          <xdr:colOff>0</xdr:colOff>
          <xdr:row>65</xdr:row>
          <xdr:rowOff>15240</xdr:rowOff>
        </xdr:to>
        <xdr:sp macro="" textlink="">
          <xdr:nvSpPr>
            <xdr:cNvPr id="25659" name="strandsbox_02" hidden="1">
              <a:extLst>
                <a:ext uri="{63B3BB69-23CF-44E3-9099-C40C66FF867C}">
                  <a14:compatExt spid="_x0000_s25659"/>
                </a:ext>
                <a:ext uri="{FF2B5EF4-FFF2-40B4-BE49-F238E27FC236}">
                  <a16:creationId xmlns:a16="http://schemas.microsoft.com/office/drawing/2014/main" id="{00000000-0008-0000-0800-00003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66</xdr:row>
          <xdr:rowOff>15240</xdr:rowOff>
        </xdr:from>
        <xdr:to>
          <xdr:col>9</xdr:col>
          <xdr:colOff>0</xdr:colOff>
          <xdr:row>66</xdr:row>
          <xdr:rowOff>15240</xdr:rowOff>
        </xdr:to>
        <xdr:sp macro="" textlink="">
          <xdr:nvSpPr>
            <xdr:cNvPr id="25660" name="strandsbox_03" hidden="1">
              <a:extLst>
                <a:ext uri="{63B3BB69-23CF-44E3-9099-C40C66FF867C}">
                  <a14:compatExt spid="_x0000_s25660"/>
                </a:ext>
                <a:ext uri="{FF2B5EF4-FFF2-40B4-BE49-F238E27FC236}">
                  <a16:creationId xmlns:a16="http://schemas.microsoft.com/office/drawing/2014/main" id="{00000000-0008-0000-0800-00003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67</xdr:row>
          <xdr:rowOff>15240</xdr:rowOff>
        </xdr:from>
        <xdr:to>
          <xdr:col>9</xdr:col>
          <xdr:colOff>0</xdr:colOff>
          <xdr:row>67</xdr:row>
          <xdr:rowOff>15240</xdr:rowOff>
        </xdr:to>
        <xdr:sp macro="" textlink="">
          <xdr:nvSpPr>
            <xdr:cNvPr id="25661" name="strandsbox_04" hidden="1">
              <a:extLst>
                <a:ext uri="{63B3BB69-23CF-44E3-9099-C40C66FF867C}">
                  <a14:compatExt spid="_x0000_s25661"/>
                </a:ext>
                <a:ext uri="{FF2B5EF4-FFF2-40B4-BE49-F238E27FC236}">
                  <a16:creationId xmlns:a16="http://schemas.microsoft.com/office/drawing/2014/main" id="{00000000-0008-0000-0800-00003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68</xdr:row>
          <xdr:rowOff>15240</xdr:rowOff>
        </xdr:from>
        <xdr:to>
          <xdr:col>9</xdr:col>
          <xdr:colOff>0</xdr:colOff>
          <xdr:row>68</xdr:row>
          <xdr:rowOff>15240</xdr:rowOff>
        </xdr:to>
        <xdr:sp macro="" textlink="">
          <xdr:nvSpPr>
            <xdr:cNvPr id="25662" name="strandsbox_05" hidden="1">
              <a:extLst>
                <a:ext uri="{63B3BB69-23CF-44E3-9099-C40C66FF867C}">
                  <a14:compatExt spid="_x0000_s25662"/>
                </a:ext>
                <a:ext uri="{FF2B5EF4-FFF2-40B4-BE49-F238E27FC236}">
                  <a16:creationId xmlns:a16="http://schemas.microsoft.com/office/drawing/2014/main" id="{00000000-0008-0000-0800-00003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69</xdr:row>
          <xdr:rowOff>15240</xdr:rowOff>
        </xdr:from>
        <xdr:to>
          <xdr:col>9</xdr:col>
          <xdr:colOff>0</xdr:colOff>
          <xdr:row>69</xdr:row>
          <xdr:rowOff>15240</xdr:rowOff>
        </xdr:to>
        <xdr:sp macro="" textlink="">
          <xdr:nvSpPr>
            <xdr:cNvPr id="25663" name="strandsbox_06" hidden="1">
              <a:extLst>
                <a:ext uri="{63B3BB69-23CF-44E3-9099-C40C66FF867C}">
                  <a14:compatExt spid="_x0000_s25663"/>
                </a:ext>
                <a:ext uri="{FF2B5EF4-FFF2-40B4-BE49-F238E27FC236}">
                  <a16:creationId xmlns:a16="http://schemas.microsoft.com/office/drawing/2014/main" id="{00000000-0008-0000-0800-00003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64</xdr:row>
          <xdr:rowOff>15240</xdr:rowOff>
        </xdr:from>
        <xdr:to>
          <xdr:col>14</xdr:col>
          <xdr:colOff>1097280</xdr:colOff>
          <xdr:row>64</xdr:row>
          <xdr:rowOff>15240</xdr:rowOff>
        </xdr:to>
        <xdr:sp macro="" textlink="">
          <xdr:nvSpPr>
            <xdr:cNvPr id="25664" name="strandsbox_07" hidden="1">
              <a:extLst>
                <a:ext uri="{63B3BB69-23CF-44E3-9099-C40C66FF867C}">
                  <a14:compatExt spid="_x0000_s25664"/>
                </a:ext>
                <a:ext uri="{FF2B5EF4-FFF2-40B4-BE49-F238E27FC236}">
                  <a16:creationId xmlns:a16="http://schemas.microsoft.com/office/drawing/2014/main" id="{00000000-0008-0000-0800-00004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65</xdr:row>
          <xdr:rowOff>15240</xdr:rowOff>
        </xdr:from>
        <xdr:to>
          <xdr:col>14</xdr:col>
          <xdr:colOff>1097280</xdr:colOff>
          <xdr:row>65</xdr:row>
          <xdr:rowOff>15240</xdr:rowOff>
        </xdr:to>
        <xdr:sp macro="" textlink="">
          <xdr:nvSpPr>
            <xdr:cNvPr id="25665" name="strandsbox_08" hidden="1">
              <a:extLst>
                <a:ext uri="{63B3BB69-23CF-44E3-9099-C40C66FF867C}">
                  <a14:compatExt spid="_x0000_s25665"/>
                </a:ext>
                <a:ext uri="{FF2B5EF4-FFF2-40B4-BE49-F238E27FC236}">
                  <a16:creationId xmlns:a16="http://schemas.microsoft.com/office/drawing/2014/main" id="{00000000-0008-0000-0800-00004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66</xdr:row>
          <xdr:rowOff>15240</xdr:rowOff>
        </xdr:from>
        <xdr:to>
          <xdr:col>14</xdr:col>
          <xdr:colOff>1097280</xdr:colOff>
          <xdr:row>66</xdr:row>
          <xdr:rowOff>15240</xdr:rowOff>
        </xdr:to>
        <xdr:sp macro="" textlink="">
          <xdr:nvSpPr>
            <xdr:cNvPr id="25666" name="strandsbox_09" hidden="1">
              <a:extLst>
                <a:ext uri="{63B3BB69-23CF-44E3-9099-C40C66FF867C}">
                  <a14:compatExt spid="_x0000_s25666"/>
                </a:ext>
                <a:ext uri="{FF2B5EF4-FFF2-40B4-BE49-F238E27FC236}">
                  <a16:creationId xmlns:a16="http://schemas.microsoft.com/office/drawing/2014/main" id="{00000000-0008-0000-0800-00004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67</xdr:row>
          <xdr:rowOff>15240</xdr:rowOff>
        </xdr:from>
        <xdr:to>
          <xdr:col>14</xdr:col>
          <xdr:colOff>1097280</xdr:colOff>
          <xdr:row>67</xdr:row>
          <xdr:rowOff>15240</xdr:rowOff>
        </xdr:to>
        <xdr:sp macro="" textlink="">
          <xdr:nvSpPr>
            <xdr:cNvPr id="25667" name="strandsbox_10" hidden="1">
              <a:extLst>
                <a:ext uri="{63B3BB69-23CF-44E3-9099-C40C66FF867C}">
                  <a14:compatExt spid="_x0000_s25667"/>
                </a:ext>
                <a:ext uri="{FF2B5EF4-FFF2-40B4-BE49-F238E27FC236}">
                  <a16:creationId xmlns:a16="http://schemas.microsoft.com/office/drawing/2014/main" id="{00000000-0008-0000-0800-00004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68</xdr:row>
          <xdr:rowOff>15240</xdr:rowOff>
        </xdr:from>
        <xdr:to>
          <xdr:col>14</xdr:col>
          <xdr:colOff>1097280</xdr:colOff>
          <xdr:row>68</xdr:row>
          <xdr:rowOff>15240</xdr:rowOff>
        </xdr:to>
        <xdr:sp macro="" textlink="">
          <xdr:nvSpPr>
            <xdr:cNvPr id="25668" name="strandsbox_11" hidden="1">
              <a:extLst>
                <a:ext uri="{63B3BB69-23CF-44E3-9099-C40C66FF867C}">
                  <a14:compatExt spid="_x0000_s25668"/>
                </a:ext>
                <a:ext uri="{FF2B5EF4-FFF2-40B4-BE49-F238E27FC236}">
                  <a16:creationId xmlns:a16="http://schemas.microsoft.com/office/drawing/2014/main" id="{00000000-0008-0000-0800-00004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xdr:colOff>
          <xdr:row>69</xdr:row>
          <xdr:rowOff>15240</xdr:rowOff>
        </xdr:from>
        <xdr:to>
          <xdr:col>14</xdr:col>
          <xdr:colOff>1097280</xdr:colOff>
          <xdr:row>69</xdr:row>
          <xdr:rowOff>15240</xdr:rowOff>
        </xdr:to>
        <xdr:sp macro="" textlink="">
          <xdr:nvSpPr>
            <xdr:cNvPr id="25669" name="strandsbox_12" hidden="1">
              <a:extLst>
                <a:ext uri="{63B3BB69-23CF-44E3-9099-C40C66FF867C}">
                  <a14:compatExt spid="_x0000_s25669"/>
                </a:ext>
                <a:ext uri="{FF2B5EF4-FFF2-40B4-BE49-F238E27FC236}">
                  <a16:creationId xmlns:a16="http://schemas.microsoft.com/office/drawing/2014/main" id="{00000000-0008-0000-0800-00004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16</xdr:col>
      <xdr:colOff>761807</xdr:colOff>
      <xdr:row>0</xdr:row>
      <xdr:rowOff>215900</xdr:rowOff>
    </xdr:from>
    <xdr:to>
      <xdr:col>17</xdr:col>
      <xdr:colOff>373</xdr:colOff>
      <xdr:row>3</xdr:row>
      <xdr:rowOff>241300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763057" y="215900"/>
          <a:ext cx="1461066" cy="1104900"/>
        </a:xfrm>
        <a:prstGeom prst="rect">
          <a:avLst/>
        </a:prstGeom>
      </xdr:spPr>
    </xdr:pic>
    <xdr:clientData/>
  </xdr:twoCellAnchor>
  <xdr:twoCellAnchor editAs="oneCell">
    <xdr:from>
      <xdr:col>4</xdr:col>
      <xdr:colOff>927100</xdr:colOff>
      <xdr:row>0</xdr:row>
      <xdr:rowOff>240477</xdr:rowOff>
    </xdr:from>
    <xdr:to>
      <xdr:col>6</xdr:col>
      <xdr:colOff>714450</xdr:colOff>
      <xdr:row>2</xdr:row>
      <xdr:rowOff>249899</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47900" y="240477"/>
          <a:ext cx="1425650" cy="796822"/>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22860</xdr:colOff>
          <xdr:row>50</xdr:row>
          <xdr:rowOff>7620</xdr:rowOff>
        </xdr:from>
        <xdr:to>
          <xdr:col>9</xdr:col>
          <xdr:colOff>0</xdr:colOff>
          <xdr:row>50</xdr:row>
          <xdr:rowOff>236220</xdr:rowOff>
        </xdr:to>
        <xdr:sp macro="" textlink="">
          <xdr:nvSpPr>
            <xdr:cNvPr id="25670" name="Check Box 70" hidden="1">
              <a:extLst>
                <a:ext uri="{63B3BB69-23CF-44E3-9099-C40C66FF867C}">
                  <a14:compatExt spid="_x0000_s25670"/>
                </a:ext>
                <a:ext uri="{FF2B5EF4-FFF2-40B4-BE49-F238E27FC236}">
                  <a16:creationId xmlns:a16="http://schemas.microsoft.com/office/drawing/2014/main" id="{00000000-0008-0000-0800-00004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51</xdr:row>
          <xdr:rowOff>7620</xdr:rowOff>
        </xdr:from>
        <xdr:to>
          <xdr:col>9</xdr:col>
          <xdr:colOff>0</xdr:colOff>
          <xdr:row>51</xdr:row>
          <xdr:rowOff>236220</xdr:rowOff>
        </xdr:to>
        <xdr:sp macro="" textlink="">
          <xdr:nvSpPr>
            <xdr:cNvPr id="25671" name="Check Box 71" hidden="1">
              <a:extLst>
                <a:ext uri="{63B3BB69-23CF-44E3-9099-C40C66FF867C}">
                  <a14:compatExt spid="_x0000_s25671"/>
                </a:ext>
                <a:ext uri="{FF2B5EF4-FFF2-40B4-BE49-F238E27FC236}">
                  <a16:creationId xmlns:a16="http://schemas.microsoft.com/office/drawing/2014/main" id="{00000000-0008-0000-0800-00004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52</xdr:row>
          <xdr:rowOff>7620</xdr:rowOff>
        </xdr:from>
        <xdr:to>
          <xdr:col>9</xdr:col>
          <xdr:colOff>0</xdr:colOff>
          <xdr:row>52</xdr:row>
          <xdr:rowOff>236220</xdr:rowOff>
        </xdr:to>
        <xdr:sp macro="" textlink="">
          <xdr:nvSpPr>
            <xdr:cNvPr id="25672" name="Check Box 72" hidden="1">
              <a:extLst>
                <a:ext uri="{63B3BB69-23CF-44E3-9099-C40C66FF867C}">
                  <a14:compatExt spid="_x0000_s25672"/>
                </a:ext>
                <a:ext uri="{FF2B5EF4-FFF2-40B4-BE49-F238E27FC236}">
                  <a16:creationId xmlns:a16="http://schemas.microsoft.com/office/drawing/2014/main" id="{00000000-0008-0000-0800-00004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53</xdr:row>
          <xdr:rowOff>7620</xdr:rowOff>
        </xdr:from>
        <xdr:to>
          <xdr:col>9</xdr:col>
          <xdr:colOff>0</xdr:colOff>
          <xdr:row>53</xdr:row>
          <xdr:rowOff>236220</xdr:rowOff>
        </xdr:to>
        <xdr:sp macro="" textlink="">
          <xdr:nvSpPr>
            <xdr:cNvPr id="25673" name="Check Box 73" hidden="1">
              <a:extLst>
                <a:ext uri="{63B3BB69-23CF-44E3-9099-C40C66FF867C}">
                  <a14:compatExt spid="_x0000_s25673"/>
                </a:ext>
                <a:ext uri="{FF2B5EF4-FFF2-40B4-BE49-F238E27FC236}">
                  <a16:creationId xmlns:a16="http://schemas.microsoft.com/office/drawing/2014/main" id="{00000000-0008-0000-0800-00004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54</xdr:row>
          <xdr:rowOff>7620</xdr:rowOff>
        </xdr:from>
        <xdr:to>
          <xdr:col>9</xdr:col>
          <xdr:colOff>0</xdr:colOff>
          <xdr:row>54</xdr:row>
          <xdr:rowOff>236220</xdr:rowOff>
        </xdr:to>
        <xdr:sp macro="" textlink="">
          <xdr:nvSpPr>
            <xdr:cNvPr id="25674" name="Check Box 74" hidden="1">
              <a:extLst>
                <a:ext uri="{63B3BB69-23CF-44E3-9099-C40C66FF867C}">
                  <a14:compatExt spid="_x0000_s25674"/>
                </a:ext>
                <a:ext uri="{FF2B5EF4-FFF2-40B4-BE49-F238E27FC236}">
                  <a16:creationId xmlns:a16="http://schemas.microsoft.com/office/drawing/2014/main" id="{00000000-0008-0000-0800-00004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55</xdr:row>
          <xdr:rowOff>7620</xdr:rowOff>
        </xdr:from>
        <xdr:to>
          <xdr:col>9</xdr:col>
          <xdr:colOff>0</xdr:colOff>
          <xdr:row>55</xdr:row>
          <xdr:rowOff>236220</xdr:rowOff>
        </xdr:to>
        <xdr:sp macro="" textlink="">
          <xdr:nvSpPr>
            <xdr:cNvPr id="25675" name="Check Box 75" hidden="1">
              <a:extLst>
                <a:ext uri="{63B3BB69-23CF-44E3-9099-C40C66FF867C}">
                  <a14:compatExt spid="_x0000_s25675"/>
                </a:ext>
                <a:ext uri="{FF2B5EF4-FFF2-40B4-BE49-F238E27FC236}">
                  <a16:creationId xmlns:a16="http://schemas.microsoft.com/office/drawing/2014/main" id="{00000000-0008-0000-0800-00004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56</xdr:row>
          <xdr:rowOff>7620</xdr:rowOff>
        </xdr:from>
        <xdr:to>
          <xdr:col>9</xdr:col>
          <xdr:colOff>0</xdr:colOff>
          <xdr:row>56</xdr:row>
          <xdr:rowOff>236220</xdr:rowOff>
        </xdr:to>
        <xdr:sp macro="" textlink="">
          <xdr:nvSpPr>
            <xdr:cNvPr id="25676" name="Check Box 76" hidden="1">
              <a:extLst>
                <a:ext uri="{63B3BB69-23CF-44E3-9099-C40C66FF867C}">
                  <a14:compatExt spid="_x0000_s25676"/>
                </a:ext>
                <a:ext uri="{FF2B5EF4-FFF2-40B4-BE49-F238E27FC236}">
                  <a16:creationId xmlns:a16="http://schemas.microsoft.com/office/drawing/2014/main" id="{00000000-0008-0000-0800-00004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57</xdr:row>
          <xdr:rowOff>7620</xdr:rowOff>
        </xdr:from>
        <xdr:to>
          <xdr:col>9</xdr:col>
          <xdr:colOff>0</xdr:colOff>
          <xdr:row>57</xdr:row>
          <xdr:rowOff>236220</xdr:rowOff>
        </xdr:to>
        <xdr:sp macro="" textlink="">
          <xdr:nvSpPr>
            <xdr:cNvPr id="25677" name="Check Box 77" hidden="1">
              <a:extLst>
                <a:ext uri="{63B3BB69-23CF-44E3-9099-C40C66FF867C}">
                  <a14:compatExt spid="_x0000_s25677"/>
                </a:ext>
                <a:ext uri="{FF2B5EF4-FFF2-40B4-BE49-F238E27FC236}">
                  <a16:creationId xmlns:a16="http://schemas.microsoft.com/office/drawing/2014/main" id="{00000000-0008-0000-0800-00004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58</xdr:row>
          <xdr:rowOff>7620</xdr:rowOff>
        </xdr:from>
        <xdr:to>
          <xdr:col>9</xdr:col>
          <xdr:colOff>0</xdr:colOff>
          <xdr:row>58</xdr:row>
          <xdr:rowOff>236220</xdr:rowOff>
        </xdr:to>
        <xdr:sp macro="" textlink="">
          <xdr:nvSpPr>
            <xdr:cNvPr id="25678" name="Check Box 78" hidden="1">
              <a:extLst>
                <a:ext uri="{63B3BB69-23CF-44E3-9099-C40C66FF867C}">
                  <a14:compatExt spid="_x0000_s25678"/>
                </a:ext>
                <a:ext uri="{FF2B5EF4-FFF2-40B4-BE49-F238E27FC236}">
                  <a16:creationId xmlns:a16="http://schemas.microsoft.com/office/drawing/2014/main" id="{00000000-0008-0000-0800-00004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50</xdr:row>
          <xdr:rowOff>7620</xdr:rowOff>
        </xdr:from>
        <xdr:to>
          <xdr:col>14</xdr:col>
          <xdr:colOff>1089660</xdr:colOff>
          <xdr:row>50</xdr:row>
          <xdr:rowOff>236220</xdr:rowOff>
        </xdr:to>
        <xdr:sp macro="" textlink="">
          <xdr:nvSpPr>
            <xdr:cNvPr id="25679" name="Check Box 79" hidden="1">
              <a:extLst>
                <a:ext uri="{63B3BB69-23CF-44E3-9099-C40C66FF867C}">
                  <a14:compatExt spid="_x0000_s25679"/>
                </a:ext>
                <a:ext uri="{FF2B5EF4-FFF2-40B4-BE49-F238E27FC236}">
                  <a16:creationId xmlns:a16="http://schemas.microsoft.com/office/drawing/2014/main" id="{00000000-0008-0000-0800-00004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51</xdr:row>
          <xdr:rowOff>7620</xdr:rowOff>
        </xdr:from>
        <xdr:to>
          <xdr:col>14</xdr:col>
          <xdr:colOff>1089660</xdr:colOff>
          <xdr:row>51</xdr:row>
          <xdr:rowOff>236220</xdr:rowOff>
        </xdr:to>
        <xdr:sp macro="" textlink="">
          <xdr:nvSpPr>
            <xdr:cNvPr id="25680" name="Check Box 80" hidden="1">
              <a:extLst>
                <a:ext uri="{63B3BB69-23CF-44E3-9099-C40C66FF867C}">
                  <a14:compatExt spid="_x0000_s25680"/>
                </a:ext>
                <a:ext uri="{FF2B5EF4-FFF2-40B4-BE49-F238E27FC236}">
                  <a16:creationId xmlns:a16="http://schemas.microsoft.com/office/drawing/2014/main" id="{00000000-0008-0000-0800-00005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52</xdr:row>
          <xdr:rowOff>7620</xdr:rowOff>
        </xdr:from>
        <xdr:to>
          <xdr:col>14</xdr:col>
          <xdr:colOff>1089660</xdr:colOff>
          <xdr:row>52</xdr:row>
          <xdr:rowOff>236220</xdr:rowOff>
        </xdr:to>
        <xdr:sp macro="" textlink="">
          <xdr:nvSpPr>
            <xdr:cNvPr id="25681" name="Check Box 81" hidden="1">
              <a:extLst>
                <a:ext uri="{63B3BB69-23CF-44E3-9099-C40C66FF867C}">
                  <a14:compatExt spid="_x0000_s25681"/>
                </a:ext>
                <a:ext uri="{FF2B5EF4-FFF2-40B4-BE49-F238E27FC236}">
                  <a16:creationId xmlns:a16="http://schemas.microsoft.com/office/drawing/2014/main" id="{00000000-0008-0000-0800-00005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53</xdr:row>
          <xdr:rowOff>7620</xdr:rowOff>
        </xdr:from>
        <xdr:to>
          <xdr:col>14</xdr:col>
          <xdr:colOff>1089660</xdr:colOff>
          <xdr:row>53</xdr:row>
          <xdr:rowOff>236220</xdr:rowOff>
        </xdr:to>
        <xdr:sp macro="" textlink="">
          <xdr:nvSpPr>
            <xdr:cNvPr id="25682" name="Check Box 82" hidden="1">
              <a:extLst>
                <a:ext uri="{63B3BB69-23CF-44E3-9099-C40C66FF867C}">
                  <a14:compatExt spid="_x0000_s25682"/>
                </a:ext>
                <a:ext uri="{FF2B5EF4-FFF2-40B4-BE49-F238E27FC236}">
                  <a16:creationId xmlns:a16="http://schemas.microsoft.com/office/drawing/2014/main" id="{00000000-0008-0000-0800-00005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54</xdr:row>
          <xdr:rowOff>7620</xdr:rowOff>
        </xdr:from>
        <xdr:to>
          <xdr:col>14</xdr:col>
          <xdr:colOff>1089660</xdr:colOff>
          <xdr:row>54</xdr:row>
          <xdr:rowOff>236220</xdr:rowOff>
        </xdr:to>
        <xdr:sp macro="" textlink="">
          <xdr:nvSpPr>
            <xdr:cNvPr id="25683" name="Check Box 83" hidden="1">
              <a:extLst>
                <a:ext uri="{63B3BB69-23CF-44E3-9099-C40C66FF867C}">
                  <a14:compatExt spid="_x0000_s25683"/>
                </a:ext>
                <a:ext uri="{FF2B5EF4-FFF2-40B4-BE49-F238E27FC236}">
                  <a16:creationId xmlns:a16="http://schemas.microsoft.com/office/drawing/2014/main" id="{00000000-0008-0000-0800-00005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55</xdr:row>
          <xdr:rowOff>7620</xdr:rowOff>
        </xdr:from>
        <xdr:to>
          <xdr:col>14</xdr:col>
          <xdr:colOff>1089660</xdr:colOff>
          <xdr:row>55</xdr:row>
          <xdr:rowOff>236220</xdr:rowOff>
        </xdr:to>
        <xdr:sp macro="" textlink="">
          <xdr:nvSpPr>
            <xdr:cNvPr id="25684" name="Check Box 84" hidden="1">
              <a:extLst>
                <a:ext uri="{63B3BB69-23CF-44E3-9099-C40C66FF867C}">
                  <a14:compatExt spid="_x0000_s25684"/>
                </a:ext>
                <a:ext uri="{FF2B5EF4-FFF2-40B4-BE49-F238E27FC236}">
                  <a16:creationId xmlns:a16="http://schemas.microsoft.com/office/drawing/2014/main" id="{00000000-0008-0000-0800-00005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56</xdr:row>
          <xdr:rowOff>7620</xdr:rowOff>
        </xdr:from>
        <xdr:to>
          <xdr:col>14</xdr:col>
          <xdr:colOff>1089660</xdr:colOff>
          <xdr:row>56</xdr:row>
          <xdr:rowOff>236220</xdr:rowOff>
        </xdr:to>
        <xdr:sp macro="" textlink="">
          <xdr:nvSpPr>
            <xdr:cNvPr id="25685" name="Check Box 85" hidden="1">
              <a:extLst>
                <a:ext uri="{63B3BB69-23CF-44E3-9099-C40C66FF867C}">
                  <a14:compatExt spid="_x0000_s25685"/>
                </a:ext>
                <a:ext uri="{FF2B5EF4-FFF2-40B4-BE49-F238E27FC236}">
                  <a16:creationId xmlns:a16="http://schemas.microsoft.com/office/drawing/2014/main" id="{00000000-0008-0000-0800-00005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57</xdr:row>
          <xdr:rowOff>7620</xdr:rowOff>
        </xdr:from>
        <xdr:to>
          <xdr:col>14</xdr:col>
          <xdr:colOff>1089660</xdr:colOff>
          <xdr:row>57</xdr:row>
          <xdr:rowOff>236220</xdr:rowOff>
        </xdr:to>
        <xdr:sp macro="" textlink="">
          <xdr:nvSpPr>
            <xdr:cNvPr id="25686" name="Check Box 86" hidden="1">
              <a:extLst>
                <a:ext uri="{63B3BB69-23CF-44E3-9099-C40C66FF867C}">
                  <a14:compatExt spid="_x0000_s25686"/>
                </a:ext>
                <a:ext uri="{FF2B5EF4-FFF2-40B4-BE49-F238E27FC236}">
                  <a16:creationId xmlns:a16="http://schemas.microsoft.com/office/drawing/2014/main" id="{00000000-0008-0000-0800-000056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64</xdr:row>
          <xdr:rowOff>7620</xdr:rowOff>
        </xdr:from>
        <xdr:to>
          <xdr:col>9</xdr:col>
          <xdr:colOff>0</xdr:colOff>
          <xdr:row>64</xdr:row>
          <xdr:rowOff>236220</xdr:rowOff>
        </xdr:to>
        <xdr:sp macro="" textlink="">
          <xdr:nvSpPr>
            <xdr:cNvPr id="25687" name="Check Box 87" hidden="1">
              <a:extLst>
                <a:ext uri="{63B3BB69-23CF-44E3-9099-C40C66FF867C}">
                  <a14:compatExt spid="_x0000_s25687"/>
                </a:ext>
                <a:ext uri="{FF2B5EF4-FFF2-40B4-BE49-F238E27FC236}">
                  <a16:creationId xmlns:a16="http://schemas.microsoft.com/office/drawing/2014/main" id="{00000000-0008-0000-0800-000057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65</xdr:row>
          <xdr:rowOff>7620</xdr:rowOff>
        </xdr:from>
        <xdr:to>
          <xdr:col>9</xdr:col>
          <xdr:colOff>0</xdr:colOff>
          <xdr:row>65</xdr:row>
          <xdr:rowOff>236220</xdr:rowOff>
        </xdr:to>
        <xdr:sp macro="" textlink="">
          <xdr:nvSpPr>
            <xdr:cNvPr id="25688" name="Check Box 88" hidden="1">
              <a:extLst>
                <a:ext uri="{63B3BB69-23CF-44E3-9099-C40C66FF867C}">
                  <a14:compatExt spid="_x0000_s25688"/>
                </a:ext>
                <a:ext uri="{FF2B5EF4-FFF2-40B4-BE49-F238E27FC236}">
                  <a16:creationId xmlns:a16="http://schemas.microsoft.com/office/drawing/2014/main" id="{00000000-0008-0000-0800-000058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66</xdr:row>
          <xdr:rowOff>7620</xdr:rowOff>
        </xdr:from>
        <xdr:to>
          <xdr:col>9</xdr:col>
          <xdr:colOff>0</xdr:colOff>
          <xdr:row>66</xdr:row>
          <xdr:rowOff>236220</xdr:rowOff>
        </xdr:to>
        <xdr:sp macro="" textlink="">
          <xdr:nvSpPr>
            <xdr:cNvPr id="25689" name="Check Box 89" hidden="1">
              <a:extLst>
                <a:ext uri="{63B3BB69-23CF-44E3-9099-C40C66FF867C}">
                  <a14:compatExt spid="_x0000_s25689"/>
                </a:ext>
                <a:ext uri="{FF2B5EF4-FFF2-40B4-BE49-F238E27FC236}">
                  <a16:creationId xmlns:a16="http://schemas.microsoft.com/office/drawing/2014/main" id="{00000000-0008-0000-0800-000059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67</xdr:row>
          <xdr:rowOff>7620</xdr:rowOff>
        </xdr:from>
        <xdr:to>
          <xdr:col>9</xdr:col>
          <xdr:colOff>0</xdr:colOff>
          <xdr:row>67</xdr:row>
          <xdr:rowOff>236220</xdr:rowOff>
        </xdr:to>
        <xdr:sp macro="" textlink="">
          <xdr:nvSpPr>
            <xdr:cNvPr id="25690" name="Check Box 90" hidden="1">
              <a:extLst>
                <a:ext uri="{63B3BB69-23CF-44E3-9099-C40C66FF867C}">
                  <a14:compatExt spid="_x0000_s25690"/>
                </a:ext>
                <a:ext uri="{FF2B5EF4-FFF2-40B4-BE49-F238E27FC236}">
                  <a16:creationId xmlns:a16="http://schemas.microsoft.com/office/drawing/2014/main" id="{00000000-0008-0000-0800-00005A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68</xdr:row>
          <xdr:rowOff>7620</xdr:rowOff>
        </xdr:from>
        <xdr:to>
          <xdr:col>9</xdr:col>
          <xdr:colOff>0</xdr:colOff>
          <xdr:row>68</xdr:row>
          <xdr:rowOff>236220</xdr:rowOff>
        </xdr:to>
        <xdr:sp macro="" textlink="">
          <xdr:nvSpPr>
            <xdr:cNvPr id="25691" name="Check Box 91" hidden="1">
              <a:extLst>
                <a:ext uri="{63B3BB69-23CF-44E3-9099-C40C66FF867C}">
                  <a14:compatExt spid="_x0000_s25691"/>
                </a:ext>
                <a:ext uri="{FF2B5EF4-FFF2-40B4-BE49-F238E27FC236}">
                  <a16:creationId xmlns:a16="http://schemas.microsoft.com/office/drawing/2014/main" id="{00000000-0008-0000-0800-00005B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69</xdr:row>
          <xdr:rowOff>7620</xdr:rowOff>
        </xdr:from>
        <xdr:to>
          <xdr:col>9</xdr:col>
          <xdr:colOff>0</xdr:colOff>
          <xdr:row>69</xdr:row>
          <xdr:rowOff>236220</xdr:rowOff>
        </xdr:to>
        <xdr:sp macro="" textlink="">
          <xdr:nvSpPr>
            <xdr:cNvPr id="25692" name="Check Box 92" hidden="1">
              <a:extLst>
                <a:ext uri="{63B3BB69-23CF-44E3-9099-C40C66FF867C}">
                  <a14:compatExt spid="_x0000_s25692"/>
                </a:ext>
                <a:ext uri="{FF2B5EF4-FFF2-40B4-BE49-F238E27FC236}">
                  <a16:creationId xmlns:a16="http://schemas.microsoft.com/office/drawing/2014/main" id="{00000000-0008-0000-0800-00005C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59</xdr:row>
          <xdr:rowOff>7620</xdr:rowOff>
        </xdr:from>
        <xdr:to>
          <xdr:col>9</xdr:col>
          <xdr:colOff>0</xdr:colOff>
          <xdr:row>59</xdr:row>
          <xdr:rowOff>236220</xdr:rowOff>
        </xdr:to>
        <xdr:sp macro="" textlink="">
          <xdr:nvSpPr>
            <xdr:cNvPr id="25693" name="Check Box 93" hidden="1">
              <a:extLst>
                <a:ext uri="{63B3BB69-23CF-44E3-9099-C40C66FF867C}">
                  <a14:compatExt spid="_x0000_s25693"/>
                </a:ext>
                <a:ext uri="{FF2B5EF4-FFF2-40B4-BE49-F238E27FC236}">
                  <a16:creationId xmlns:a16="http://schemas.microsoft.com/office/drawing/2014/main" id="{00000000-0008-0000-0800-00005D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22860</xdr:colOff>
          <xdr:row>60</xdr:row>
          <xdr:rowOff>7620</xdr:rowOff>
        </xdr:from>
        <xdr:to>
          <xdr:col>9</xdr:col>
          <xdr:colOff>0</xdr:colOff>
          <xdr:row>60</xdr:row>
          <xdr:rowOff>236220</xdr:rowOff>
        </xdr:to>
        <xdr:sp macro="" textlink="">
          <xdr:nvSpPr>
            <xdr:cNvPr id="25694" name="Check Box 94" hidden="1">
              <a:extLst>
                <a:ext uri="{63B3BB69-23CF-44E3-9099-C40C66FF867C}">
                  <a14:compatExt spid="_x0000_s25694"/>
                </a:ext>
                <a:ext uri="{FF2B5EF4-FFF2-40B4-BE49-F238E27FC236}">
                  <a16:creationId xmlns:a16="http://schemas.microsoft.com/office/drawing/2014/main" id="{00000000-0008-0000-0800-00005E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64</xdr:row>
          <xdr:rowOff>7620</xdr:rowOff>
        </xdr:from>
        <xdr:to>
          <xdr:col>14</xdr:col>
          <xdr:colOff>1089660</xdr:colOff>
          <xdr:row>64</xdr:row>
          <xdr:rowOff>236220</xdr:rowOff>
        </xdr:to>
        <xdr:sp macro="" textlink="">
          <xdr:nvSpPr>
            <xdr:cNvPr id="25695" name="Check Box 95" hidden="1">
              <a:extLst>
                <a:ext uri="{63B3BB69-23CF-44E3-9099-C40C66FF867C}">
                  <a14:compatExt spid="_x0000_s25695"/>
                </a:ext>
                <a:ext uri="{FF2B5EF4-FFF2-40B4-BE49-F238E27FC236}">
                  <a16:creationId xmlns:a16="http://schemas.microsoft.com/office/drawing/2014/main" id="{00000000-0008-0000-0800-00005F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65</xdr:row>
          <xdr:rowOff>7620</xdr:rowOff>
        </xdr:from>
        <xdr:to>
          <xdr:col>14</xdr:col>
          <xdr:colOff>1089660</xdr:colOff>
          <xdr:row>65</xdr:row>
          <xdr:rowOff>236220</xdr:rowOff>
        </xdr:to>
        <xdr:sp macro="" textlink="">
          <xdr:nvSpPr>
            <xdr:cNvPr id="25696" name="Check Box 96" hidden="1">
              <a:extLst>
                <a:ext uri="{63B3BB69-23CF-44E3-9099-C40C66FF867C}">
                  <a14:compatExt spid="_x0000_s25696"/>
                </a:ext>
                <a:ext uri="{FF2B5EF4-FFF2-40B4-BE49-F238E27FC236}">
                  <a16:creationId xmlns:a16="http://schemas.microsoft.com/office/drawing/2014/main" id="{00000000-0008-0000-0800-000060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66</xdr:row>
          <xdr:rowOff>7620</xdr:rowOff>
        </xdr:from>
        <xdr:to>
          <xdr:col>14</xdr:col>
          <xdr:colOff>1089660</xdr:colOff>
          <xdr:row>66</xdr:row>
          <xdr:rowOff>236220</xdr:rowOff>
        </xdr:to>
        <xdr:sp macro="" textlink="">
          <xdr:nvSpPr>
            <xdr:cNvPr id="25697" name="Check Box 97" hidden="1">
              <a:extLst>
                <a:ext uri="{63B3BB69-23CF-44E3-9099-C40C66FF867C}">
                  <a14:compatExt spid="_x0000_s25697"/>
                </a:ext>
                <a:ext uri="{FF2B5EF4-FFF2-40B4-BE49-F238E27FC236}">
                  <a16:creationId xmlns:a16="http://schemas.microsoft.com/office/drawing/2014/main" id="{00000000-0008-0000-0800-000061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67</xdr:row>
          <xdr:rowOff>7620</xdr:rowOff>
        </xdr:from>
        <xdr:to>
          <xdr:col>14</xdr:col>
          <xdr:colOff>1089660</xdr:colOff>
          <xdr:row>67</xdr:row>
          <xdr:rowOff>236220</xdr:rowOff>
        </xdr:to>
        <xdr:sp macro="" textlink="">
          <xdr:nvSpPr>
            <xdr:cNvPr id="25698" name="Check Box 98" hidden="1">
              <a:extLst>
                <a:ext uri="{63B3BB69-23CF-44E3-9099-C40C66FF867C}">
                  <a14:compatExt spid="_x0000_s25698"/>
                </a:ext>
                <a:ext uri="{FF2B5EF4-FFF2-40B4-BE49-F238E27FC236}">
                  <a16:creationId xmlns:a16="http://schemas.microsoft.com/office/drawing/2014/main" id="{00000000-0008-0000-0800-000062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68</xdr:row>
          <xdr:rowOff>7620</xdr:rowOff>
        </xdr:from>
        <xdr:to>
          <xdr:col>14</xdr:col>
          <xdr:colOff>1089660</xdr:colOff>
          <xdr:row>68</xdr:row>
          <xdr:rowOff>236220</xdr:rowOff>
        </xdr:to>
        <xdr:sp macro="" textlink="">
          <xdr:nvSpPr>
            <xdr:cNvPr id="25699" name="Check Box 99" hidden="1">
              <a:extLst>
                <a:ext uri="{63B3BB69-23CF-44E3-9099-C40C66FF867C}">
                  <a14:compatExt spid="_x0000_s25699"/>
                </a:ext>
                <a:ext uri="{FF2B5EF4-FFF2-40B4-BE49-F238E27FC236}">
                  <a16:creationId xmlns:a16="http://schemas.microsoft.com/office/drawing/2014/main" id="{00000000-0008-0000-0800-000063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69</xdr:row>
          <xdr:rowOff>7620</xdr:rowOff>
        </xdr:from>
        <xdr:to>
          <xdr:col>14</xdr:col>
          <xdr:colOff>1089660</xdr:colOff>
          <xdr:row>69</xdr:row>
          <xdr:rowOff>236220</xdr:rowOff>
        </xdr:to>
        <xdr:sp macro="" textlink="">
          <xdr:nvSpPr>
            <xdr:cNvPr id="25700" name="Check Box 100" hidden="1">
              <a:extLst>
                <a:ext uri="{63B3BB69-23CF-44E3-9099-C40C66FF867C}">
                  <a14:compatExt spid="_x0000_s25700"/>
                </a:ext>
                <a:ext uri="{FF2B5EF4-FFF2-40B4-BE49-F238E27FC236}">
                  <a16:creationId xmlns:a16="http://schemas.microsoft.com/office/drawing/2014/main" id="{00000000-0008-0000-0800-000064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xdr:colOff>
          <xdr:row>59</xdr:row>
          <xdr:rowOff>7620</xdr:rowOff>
        </xdr:from>
        <xdr:to>
          <xdr:col>14</xdr:col>
          <xdr:colOff>1089660</xdr:colOff>
          <xdr:row>59</xdr:row>
          <xdr:rowOff>236220</xdr:rowOff>
        </xdr:to>
        <xdr:sp macro="" textlink="">
          <xdr:nvSpPr>
            <xdr:cNvPr id="25701" name="Check Box 101" hidden="1">
              <a:extLst>
                <a:ext uri="{63B3BB69-23CF-44E3-9099-C40C66FF867C}">
                  <a14:compatExt spid="_x0000_s25701"/>
                </a:ext>
                <a:ext uri="{FF2B5EF4-FFF2-40B4-BE49-F238E27FC236}">
                  <a16:creationId xmlns:a16="http://schemas.microsoft.com/office/drawing/2014/main" id="{00000000-0008-0000-0800-0000656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518160</xdr:colOff>
          <xdr:row>34</xdr:row>
          <xdr:rowOff>1562100</xdr:rowOff>
        </xdr:from>
        <xdr:to>
          <xdr:col>10</xdr:col>
          <xdr:colOff>609600</xdr:colOff>
          <xdr:row>34</xdr:row>
          <xdr:rowOff>2385060</xdr:rowOff>
        </xdr:to>
        <xdr:sp macro="" textlink="">
          <xdr:nvSpPr>
            <xdr:cNvPr id="27649" name="finalizeP1" hidden="1">
              <a:extLst>
                <a:ext uri="{63B3BB69-23CF-44E3-9099-C40C66FF867C}">
                  <a14:compatExt spid="_x0000_s27649"/>
                </a:ext>
                <a:ext uri="{FF2B5EF4-FFF2-40B4-BE49-F238E27FC236}">
                  <a16:creationId xmlns:a16="http://schemas.microsoft.com/office/drawing/2014/main" id="{00000000-0008-0000-0900-0000016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Finalize Part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35</xdr:row>
          <xdr:rowOff>0</xdr:rowOff>
        </xdr:from>
        <xdr:to>
          <xdr:col>7</xdr:col>
          <xdr:colOff>312420</xdr:colOff>
          <xdr:row>45</xdr:row>
          <xdr:rowOff>22860</xdr:rowOff>
        </xdr:to>
        <xdr:sp macro="" textlink="">
          <xdr:nvSpPr>
            <xdr:cNvPr id="27650" name="Group Box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35</xdr:row>
          <xdr:rowOff>0</xdr:rowOff>
        </xdr:from>
        <xdr:to>
          <xdr:col>7</xdr:col>
          <xdr:colOff>312420</xdr:colOff>
          <xdr:row>50</xdr:row>
          <xdr:rowOff>152400</xdr:rowOff>
        </xdr:to>
        <xdr:sp macro="" textlink="">
          <xdr:nvSpPr>
            <xdr:cNvPr id="27651" name="Group Box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13</xdr:col>
          <xdr:colOff>335280</xdr:colOff>
          <xdr:row>46</xdr:row>
          <xdr:rowOff>68580</xdr:rowOff>
        </xdr:to>
        <xdr:sp macro="" textlink="">
          <xdr:nvSpPr>
            <xdr:cNvPr id="27652" name="Group Box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13</xdr:col>
          <xdr:colOff>358140</xdr:colOff>
          <xdr:row>50</xdr:row>
          <xdr:rowOff>167640</xdr:rowOff>
        </xdr:to>
        <xdr:sp macro="" textlink="">
          <xdr:nvSpPr>
            <xdr:cNvPr id="27653" name="Group Box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13</xdr:col>
          <xdr:colOff>381000</xdr:colOff>
          <xdr:row>53</xdr:row>
          <xdr:rowOff>91440</xdr:rowOff>
        </xdr:to>
        <xdr:sp macro="" textlink="">
          <xdr:nvSpPr>
            <xdr:cNvPr id="27654" name="Group Box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38099</xdr:colOff>
      <xdr:row>3</xdr:row>
      <xdr:rowOff>359463</xdr:rowOff>
    </xdr:from>
    <xdr:to>
      <xdr:col>15</xdr:col>
      <xdr:colOff>45356</xdr:colOff>
      <xdr:row>3</xdr:row>
      <xdr:rowOff>4626428</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38099" y="1012606"/>
          <a:ext cx="16018328" cy="4266965"/>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just"/>
          <a:r>
            <a:rPr lang="en-PH" sz="1400" b="1">
              <a:latin typeface="Century Gothic" panose="020B0502020202020204" pitchFamily="34" charset="0"/>
            </a:rPr>
            <a:t>PRIVACY NOTICE:</a:t>
          </a:r>
        </a:p>
        <a:p>
          <a:pPr algn="just"/>
          <a:r>
            <a:rPr lang="en-PH" sz="1400" b="0">
              <a:latin typeface="Century Gothic" panose="020B0502020202020204" pitchFamily="34" charset="0"/>
            </a:rPr>
            <a:t>By</a:t>
          </a:r>
          <a:r>
            <a:rPr lang="en-PH" sz="1400" b="0" baseline="0">
              <a:latin typeface="Century Gothic" panose="020B0502020202020204" pitchFamily="34" charset="0"/>
            </a:rPr>
            <a:t> using this tool, you agree to authorize the Department of Education to collect, process, retain, and dispose of your personal information in accordance with the Data Privacy Act of 2012.</a:t>
          </a:r>
        </a:p>
        <a:p>
          <a:pPr algn="just"/>
          <a:endParaRPr lang="en-PH" sz="1400" b="0">
            <a:latin typeface="Century Gothic" panose="020B0502020202020204" pitchFamily="34" charset="0"/>
          </a:endParaRPr>
        </a:p>
        <a:p>
          <a:pPr algn="just"/>
          <a:r>
            <a:rPr lang="en-PH" sz="1400" b="1">
              <a:latin typeface="Century Gothic" panose="020B0502020202020204" pitchFamily="34" charset="0"/>
            </a:rPr>
            <a:t>INSTRUCTIONS:</a:t>
          </a:r>
          <a:r>
            <a:rPr lang="en-PH" sz="1400" baseline="0">
              <a:latin typeface="Century Gothic" panose="020B0502020202020204" pitchFamily="34" charset="0"/>
            </a:rPr>
            <a:t> </a:t>
          </a:r>
        </a:p>
        <a:p>
          <a:pPr algn="just"/>
          <a:r>
            <a:rPr lang="en-PH" sz="1400" baseline="0">
              <a:latin typeface="Century Gothic" panose="020B0502020202020204" pitchFamily="34" charset="0"/>
            </a:rPr>
            <a:t>Part 1 shall be accomplished by the </a:t>
          </a:r>
          <a:r>
            <a:rPr lang="en-PH" sz="1400" b="1" i="1" baseline="0">
              <a:latin typeface="Century Gothic" panose="020B0502020202020204" pitchFamily="34" charset="0"/>
            </a:rPr>
            <a:t>Rater</a:t>
          </a:r>
          <a:r>
            <a:rPr lang="en-PH" sz="1400" b="0" i="0" baseline="0">
              <a:latin typeface="Century Gothic" panose="020B0502020202020204" pitchFamily="34" charset="0"/>
            </a:rPr>
            <a:t> during the Phase III: Performance Review and Evaluation of the RPMS Cycle. </a:t>
          </a:r>
          <a:r>
            <a:rPr lang="en-PH" sz="1400" b="0" i="0">
              <a:latin typeface="Century Gothic" panose="020B0502020202020204" pitchFamily="34" charset="0"/>
            </a:rPr>
            <a:t>Fill in empty cells (white) with needed information about the rater and approving authority.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0">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1" i="0">
              <a:latin typeface="Century Gothic" panose="020B0502020202020204" pitchFamily="34" charset="0"/>
            </a:rPr>
            <a:t>Classroom</a:t>
          </a:r>
          <a:r>
            <a:rPr lang="en-PH" sz="1400" b="1" i="0" baseline="0">
              <a:latin typeface="Century Gothic" panose="020B0502020202020204" pitchFamily="34" charset="0"/>
            </a:rPr>
            <a:t> Observable Objective/Indicator (COI) Rating:</a:t>
          </a:r>
          <a:endParaRPr lang="en-PH" sz="1400" b="1" i="0">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To</a:t>
          </a:r>
          <a:r>
            <a:rPr lang="en-PH" sz="1400" b="0" i="0" baseline="0">
              <a:latin typeface="Century Gothic" panose="020B0502020202020204" pitchFamily="34" charset="0"/>
            </a:rPr>
            <a:t> g</a:t>
          </a:r>
          <a:r>
            <a:rPr lang="en-PH" sz="1400" b="0" i="0">
              <a:latin typeface="Century Gothic" panose="020B0502020202020204" pitchFamily="34" charset="0"/>
            </a:rPr>
            <a:t>et the rating for Quality,</a:t>
          </a:r>
          <a:r>
            <a:rPr lang="en-PH" sz="1400" b="0" i="0" baseline="0">
              <a:latin typeface="Century Gothic" panose="020B0502020202020204" pitchFamily="34" charset="0"/>
            </a:rPr>
            <a:t> encode </a:t>
          </a:r>
          <a:r>
            <a:rPr lang="en-PH" sz="1400" b="0" i="0">
              <a:latin typeface="Century Gothic" panose="020B0502020202020204" pitchFamily="34" charset="0"/>
            </a:rPr>
            <a:t>COT rating per observation period by doing the following steps:</a:t>
          </a: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1) select the subject for COT; 2) input the COT rating per objective; and </a:t>
          </a:r>
          <a:r>
            <a:rPr lang="en-PH" sz="1400" b="0" i="0">
              <a:solidFill>
                <a:schemeClr val="tx1"/>
              </a:solidFill>
              <a:latin typeface="Century Gothic" panose="020B0502020202020204" pitchFamily="34" charset="0"/>
            </a:rPr>
            <a:t>3) input the date of observation</a:t>
          </a:r>
          <a:r>
            <a:rPr lang="en-PH" sz="1400" b="0" i="0">
              <a:latin typeface="Century Gothic" panose="020B0502020202020204" pitchFamily="34" charset="0"/>
            </a:rPr>
            <a:t>.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PH" sz="1400" b="0" i="1">
              <a:latin typeface="Century Gothic" panose="020B0502020202020204" pitchFamily="34" charset="0"/>
            </a:rPr>
            <a:t>Note: This form automatically transmutes the COT rating to its corresponding RPMS 5-point scale.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1" i="0">
              <a:latin typeface="Century Gothic" panose="020B0502020202020204" pitchFamily="34" charset="0"/>
            </a:rPr>
            <a:t>Non-Classroom</a:t>
          </a:r>
          <a:r>
            <a:rPr lang="en-PH" sz="1400" b="1" i="0" baseline="0">
              <a:latin typeface="Century Gothic" panose="020B0502020202020204" pitchFamily="34" charset="0"/>
            </a:rPr>
            <a:t> Observable Objective/Indicator (</a:t>
          </a:r>
          <a:r>
            <a:rPr lang="en-PH" sz="1400" b="1" i="0">
              <a:latin typeface="Century Gothic" panose="020B0502020202020204" pitchFamily="34" charset="0"/>
            </a:rPr>
            <a:t>NCOI) Rating:</a:t>
          </a: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solidFill>
                <a:schemeClr val="dk1"/>
              </a:solidFill>
              <a:latin typeface="Century Gothic" panose="020B0502020202020204" pitchFamily="34" charset="0"/>
              <a:ea typeface="+mn-ea"/>
              <a:cs typeface="+mn-cs"/>
            </a:rPr>
            <a:t>Encode the rating for Quality for each of the NCOI objectives.</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solidFill>
                <a:schemeClr val="dk1"/>
              </a:solidFill>
              <a:latin typeface="Century Gothic" panose="020B0502020202020204" pitchFamily="34" charset="0"/>
              <a:ea typeface="+mn-ea"/>
              <a:cs typeface="+mn-cs"/>
            </a:rPr>
            <a:t>When ratings for all indicators are encoded, click Finalize Part 1. </a:t>
          </a:r>
        </a:p>
      </xdr:txBody>
    </xdr:sp>
    <xdr:clientData/>
  </xdr:twoCellAnchor>
  <mc:AlternateContent xmlns:mc="http://schemas.openxmlformats.org/markup-compatibility/2006">
    <mc:Choice xmlns:a14="http://schemas.microsoft.com/office/drawing/2010/main" Requires="a14">
      <xdr:twoCellAnchor editAs="oneCell">
        <xdr:from>
          <xdr:col>0</xdr:col>
          <xdr:colOff>914400</xdr:colOff>
          <xdr:row>35</xdr:row>
          <xdr:rowOff>0</xdr:rowOff>
        </xdr:from>
        <xdr:to>
          <xdr:col>7</xdr:col>
          <xdr:colOff>358140</xdr:colOff>
          <xdr:row>53</xdr:row>
          <xdr:rowOff>60960</xdr:rowOff>
        </xdr:to>
        <xdr:sp macro="" textlink="">
          <xdr:nvSpPr>
            <xdr:cNvPr id="27655" name="Group Box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5</xdr:col>
      <xdr:colOff>587526</xdr:colOff>
      <xdr:row>34</xdr:row>
      <xdr:rowOff>471713</xdr:rowOff>
    </xdr:from>
    <xdr:to>
      <xdr:col>12</xdr:col>
      <xdr:colOff>762000</xdr:colOff>
      <xdr:row>34</xdr:row>
      <xdr:rowOff>1322917</xdr:rowOff>
    </xdr:to>
    <xdr:sp macro="" textlink="">
      <xdr:nvSpPr>
        <xdr:cNvPr id="3" name="encodingNote">
          <a:extLst>
            <a:ext uri="{FF2B5EF4-FFF2-40B4-BE49-F238E27FC236}">
              <a16:creationId xmlns:a16="http://schemas.microsoft.com/office/drawing/2014/main" id="{00000000-0008-0000-0900-000003000000}"/>
            </a:ext>
          </a:extLst>
        </xdr:cNvPr>
        <xdr:cNvSpPr/>
      </xdr:nvSpPr>
      <xdr:spPr>
        <a:xfrm>
          <a:off x="6340626" y="14962413"/>
          <a:ext cx="6803874" cy="851204"/>
        </a:xfrm>
        <a:prstGeom prst="rect">
          <a:avLst/>
        </a:prstGeom>
        <a:solidFill>
          <a:schemeClr val="bg1"/>
        </a:solidFill>
        <a:ln w="28575">
          <a:solidFill>
            <a:schemeClr val="tx1"/>
          </a:solidFill>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400" b="1" i="1">
              <a:latin typeface="Century Gothic" panose="020B0502020202020204" pitchFamily="34" charset="0"/>
            </a:rPr>
            <a:t>Note:</a:t>
          </a:r>
          <a:endParaRPr lang="en-US" altLang="ja-JP" sz="1400" b="0" i="0">
            <a:latin typeface="Century Gothic" panose="020B0502020202020204" pitchFamily="34" charset="0"/>
          </a:endParaRPr>
        </a:p>
        <a:p>
          <a:pPr eaLnBrk="1" fontAlgn="auto" latinLnBrk="0" hangingPunct="1"/>
          <a:r>
            <a:rPr kumimoji="1" lang="en-PH" sz="2000" b="0" i="0" kern="1200">
              <a:solidFill>
                <a:schemeClr val="tx1"/>
              </a:solidFill>
              <a:effectLst/>
              <a:latin typeface="+mn-lt"/>
              <a:ea typeface="+mn-ea"/>
              <a:cs typeface="+mn-cs"/>
            </a:rPr>
            <a:t>When ratings for all indicators are encoded, click Finalize Part 1. </a:t>
          </a:r>
          <a:endParaRPr lang="en-PH" sz="2000">
            <a:effectLst/>
          </a:endParaRPr>
        </a:p>
      </xdr:txBody>
    </xdr:sp>
    <xdr:clientData/>
  </xdr:twoCellAnchor>
  <xdr:twoCellAnchor editAs="oneCell">
    <xdr:from>
      <xdr:col>13</xdr:col>
      <xdr:colOff>362120</xdr:colOff>
      <xdr:row>0</xdr:row>
      <xdr:rowOff>36286</xdr:rowOff>
    </xdr:from>
    <xdr:to>
      <xdr:col>14</xdr:col>
      <xdr:colOff>555445</xdr:colOff>
      <xdr:row>3</xdr:row>
      <xdr:rowOff>326492</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662320" y="36286"/>
          <a:ext cx="1298225" cy="950606"/>
        </a:xfrm>
        <a:prstGeom prst="rect">
          <a:avLst/>
        </a:prstGeom>
      </xdr:spPr>
    </xdr:pic>
    <xdr:clientData/>
  </xdr:twoCellAnchor>
  <xdr:twoCellAnchor editAs="oneCell">
    <xdr:from>
      <xdr:col>1</xdr:col>
      <xdr:colOff>1212288</xdr:colOff>
      <xdr:row>0</xdr:row>
      <xdr:rowOff>127991</xdr:rowOff>
    </xdr:from>
    <xdr:to>
      <xdr:col>2</xdr:col>
      <xdr:colOff>1233479</xdr:colOff>
      <xdr:row>3</xdr:row>
      <xdr:rowOff>237278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19217" y="127991"/>
          <a:ext cx="1327476" cy="76243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46264</xdr:colOff>
      <xdr:row>5</xdr:row>
      <xdr:rowOff>28575</xdr:rowOff>
    </xdr:from>
    <xdr:ext cx="11725050" cy="887639"/>
    <xdr:sp macro="" textlink="">
      <xdr:nvSpPr>
        <xdr:cNvPr id="2" name="Shape 7">
          <a:extLst>
            <a:ext uri="{FF2B5EF4-FFF2-40B4-BE49-F238E27FC236}">
              <a16:creationId xmlns:a16="http://schemas.microsoft.com/office/drawing/2014/main" id="{00000000-0008-0000-0E00-000002000000}"/>
            </a:ext>
          </a:extLst>
        </xdr:cNvPr>
        <xdr:cNvSpPr txBox="1"/>
      </xdr:nvSpPr>
      <xdr:spPr>
        <a:xfrm>
          <a:off x="379639" y="1862138"/>
          <a:ext cx="11725050" cy="887639"/>
        </a:xfrm>
        <a:prstGeom prst="rect">
          <a:avLst/>
        </a:prstGeom>
        <a:solidFill>
          <a:schemeClr val="lt1"/>
        </a:solidFill>
        <a:ln w="25400" cap="flat" cmpd="sng">
          <a:solidFill>
            <a:schemeClr val="dk1"/>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r>
            <a:rPr lang="en-US" sz="1300" b="1">
              <a:solidFill>
                <a:schemeClr val="dk1"/>
              </a:solidFill>
              <a:latin typeface="Century Gothic"/>
              <a:ea typeface="Century Gothic"/>
              <a:cs typeface="Century Gothic"/>
              <a:sym typeface="Century Gothic"/>
            </a:rPr>
            <a:t>CORE COMPETENCIES </a:t>
          </a:r>
          <a:br>
            <a:rPr lang="en-US" sz="1300" b="1">
              <a:solidFill>
                <a:schemeClr val="dk1"/>
              </a:solidFill>
              <a:latin typeface="Century Gothic"/>
              <a:ea typeface="Century Gothic"/>
              <a:cs typeface="Century Gothic"/>
              <a:sym typeface="Century Gothic"/>
            </a:rPr>
          </a:br>
          <a:r>
            <a:rPr lang="en-US" sz="1300" b="0" i="1">
              <a:solidFill>
                <a:schemeClr val="dk1"/>
              </a:solidFill>
              <a:latin typeface="Century Gothic"/>
              <a:ea typeface="Century Gothic"/>
              <a:cs typeface="Century Gothic"/>
              <a:sym typeface="Century Gothic"/>
            </a:rPr>
            <a:t>Core Competencies shall capture competencies required from all DepEd personnel in all job groups within the organization, upholding the DepEd’s core values and the Code of Conduct and Ethical Standards for Public Officials and Employees pursuant to RA 6713. They represent the way individuals embody and live the values of the organization. </a:t>
          </a:r>
          <a:endParaRPr sz="1300" b="0" i="1">
            <a:solidFill>
              <a:srgbClr val="FF0000"/>
            </a:solidFill>
            <a:latin typeface="Century Gothic"/>
            <a:ea typeface="Century Gothic"/>
            <a:cs typeface="Century Gothic"/>
            <a:sym typeface="Century Gothic"/>
          </a:endParaRPr>
        </a:p>
      </xdr:txBody>
    </xdr:sp>
    <xdr:clientData fLocksWithSheet="0"/>
  </xdr:oneCellAnchor>
  <mc:AlternateContent xmlns:mc="http://schemas.openxmlformats.org/markup-compatibility/2006">
    <mc:Choice xmlns:a14="http://schemas.microsoft.com/office/drawing/2010/main" Requires="a14">
      <xdr:twoCellAnchor>
        <xdr:from>
          <xdr:col>10</xdr:col>
          <xdr:colOff>411480</xdr:colOff>
          <xdr:row>70</xdr:row>
          <xdr:rowOff>152400</xdr:rowOff>
        </xdr:from>
        <xdr:to>
          <xdr:col>15</xdr:col>
          <xdr:colOff>160020</xdr:colOff>
          <xdr:row>74</xdr:row>
          <xdr:rowOff>83820</xdr:rowOff>
        </xdr:to>
        <xdr:sp macro="" textlink="">
          <xdr:nvSpPr>
            <xdr:cNvPr id="3074" name="Save" hidden="1">
              <a:extLst>
                <a:ext uri="{63B3BB69-23CF-44E3-9099-C40C66FF867C}">
                  <a14:compatExt spid="_x0000_s3074"/>
                </a:ext>
                <a:ext uri="{FF2B5EF4-FFF2-40B4-BE49-F238E27FC236}">
                  <a16:creationId xmlns:a16="http://schemas.microsoft.com/office/drawing/2014/main" id="{00000000-0008-0000-0E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200" b="1" i="0" u="none" strike="noStrike" baseline="0">
                  <a:solidFill>
                    <a:srgbClr val="000000"/>
                  </a:solidFill>
                  <a:latin typeface="Calibri"/>
                  <a:cs typeface="Calibri"/>
                </a:rPr>
                <a:t>NEXT</a:t>
              </a:r>
            </a:p>
          </xdr:txBody>
        </xdr:sp>
        <xdr:clientData fPrintsWithSheet="0"/>
      </xdr:twoCellAnchor>
    </mc:Choice>
    <mc:Fallback/>
  </mc:AlternateContent>
  <xdr:twoCellAnchor editAs="oneCell">
    <xdr:from>
      <xdr:col>5</xdr:col>
      <xdr:colOff>15874</xdr:colOff>
      <xdr:row>0</xdr:row>
      <xdr:rowOff>0</xdr:rowOff>
    </xdr:from>
    <xdr:to>
      <xdr:col>7</xdr:col>
      <xdr:colOff>250303</xdr:colOff>
      <xdr:row>0</xdr:row>
      <xdr:rowOff>635000</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70124" y="0"/>
          <a:ext cx="1282179" cy="635000"/>
        </a:xfrm>
        <a:prstGeom prst="rect">
          <a:avLst/>
        </a:prstGeom>
      </xdr:spPr>
    </xdr:pic>
    <xdr:clientData/>
  </xdr:twoCellAnchor>
  <xdr:twoCellAnchor editAs="oneCell">
    <xdr:from>
      <xdr:col>18</xdr:col>
      <xdr:colOff>23813</xdr:colOff>
      <xdr:row>0</xdr:row>
      <xdr:rowOff>48464</xdr:rowOff>
    </xdr:from>
    <xdr:to>
      <xdr:col>19</xdr:col>
      <xdr:colOff>468668</xdr:colOff>
      <xdr:row>1</xdr:row>
      <xdr:rowOff>65144</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136063" y="48464"/>
          <a:ext cx="1048105" cy="762805"/>
        </a:xfrm>
        <a:prstGeom prst="rect">
          <a:avLst/>
        </a:prstGeom>
      </xdr:spPr>
    </xdr:pic>
    <xdr:clientData/>
  </xdr:twoCellAnchor>
  <xdr:twoCellAnchor>
    <xdr:from>
      <xdr:col>6</xdr:col>
      <xdr:colOff>31750</xdr:colOff>
      <xdr:row>65</xdr:row>
      <xdr:rowOff>79377</xdr:rowOff>
    </xdr:from>
    <xdr:to>
      <xdr:col>19</xdr:col>
      <xdr:colOff>746125</xdr:colOff>
      <xdr:row>69</xdr:row>
      <xdr:rowOff>158751</xdr:rowOff>
    </xdr:to>
    <xdr:sp macro="" textlink="">
      <xdr:nvSpPr>
        <xdr:cNvPr id="5" name="正方形/長方形 10">
          <a:extLst>
            <a:ext uri="{FF2B5EF4-FFF2-40B4-BE49-F238E27FC236}">
              <a16:creationId xmlns:a16="http://schemas.microsoft.com/office/drawing/2014/main" id="{00000000-0008-0000-0E00-000005000000}"/>
            </a:ext>
          </a:extLst>
        </xdr:cNvPr>
        <xdr:cNvSpPr/>
      </xdr:nvSpPr>
      <xdr:spPr>
        <a:xfrm>
          <a:off x="2809875" y="19097627"/>
          <a:ext cx="7651750" cy="904874"/>
        </a:xfrm>
        <a:prstGeom prst="rect">
          <a:avLst/>
        </a:prstGeom>
        <a:solidFill>
          <a:schemeClr val="bg1"/>
        </a:solidFill>
        <a:ln w="9525">
          <a:solidFill>
            <a:schemeClr val="tx1"/>
          </a:solidFill>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400" b="1" i="1">
              <a:latin typeface="Century Gothic" panose="020B0502020202020204" pitchFamily="34" charset="0"/>
            </a:rPr>
            <a:t>Note:</a:t>
          </a:r>
          <a:endParaRPr lang="en-US" altLang="ja-JP" sz="1400" b="0" i="0">
            <a:latin typeface="Century Gothic" panose="020B0502020202020204"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kumimoji="1" lang="en-PH" sz="1700" kern="1200" baseline="0">
              <a:solidFill>
                <a:schemeClr val="tx1"/>
              </a:solidFill>
              <a:effectLst/>
              <a:latin typeface="+mn-lt"/>
              <a:ea typeface="+mn-ea"/>
              <a:cs typeface="+mn-cs"/>
            </a:rPr>
            <a:t>After completion of Part 2-A (and Part 2-B for Highly Proficient and Distinguished), ratee shall proceed to accomplish Part 4 IDP (and Part 5 Commitment, if applicable).</a:t>
          </a:r>
          <a:endParaRPr lang="en-PH" sz="1800">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384156</xdr:colOff>
      <xdr:row>0</xdr:row>
      <xdr:rowOff>23091</xdr:rowOff>
    </xdr:from>
    <xdr:to>
      <xdr:col>2</xdr:col>
      <xdr:colOff>254968</xdr:colOff>
      <xdr:row>1</xdr:row>
      <xdr:rowOff>16410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5065" y="23091"/>
          <a:ext cx="904130" cy="443592"/>
        </a:xfrm>
        <a:prstGeom prst="rect">
          <a:avLst/>
        </a:prstGeom>
      </xdr:spPr>
    </xdr:pic>
    <xdr:clientData/>
  </xdr:twoCellAnchor>
  <xdr:twoCellAnchor editAs="oneCell">
    <xdr:from>
      <xdr:col>5</xdr:col>
      <xdr:colOff>417970</xdr:colOff>
      <xdr:row>0</xdr:row>
      <xdr:rowOff>37912</xdr:rowOff>
    </xdr:from>
    <xdr:to>
      <xdr:col>6</xdr:col>
      <xdr:colOff>491202</xdr:colOff>
      <xdr:row>1</xdr:row>
      <xdr:rowOff>134437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09697" y="37912"/>
          <a:ext cx="752175" cy="546798"/>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419100</xdr:colOff>
          <xdr:row>31</xdr:row>
          <xdr:rowOff>121920</xdr:rowOff>
        </xdr:from>
        <xdr:to>
          <xdr:col>6</xdr:col>
          <xdr:colOff>960120</xdr:colOff>
          <xdr:row>34</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F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107950</xdr:colOff>
      <xdr:row>0</xdr:row>
      <xdr:rowOff>44450</xdr:rowOff>
    </xdr:from>
    <xdr:to>
      <xdr:col>2</xdr:col>
      <xdr:colOff>1221012</xdr:colOff>
      <xdr:row>1</xdr:row>
      <xdr:rowOff>133350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25650" y="44450"/>
          <a:ext cx="1113062" cy="546100"/>
        </a:xfrm>
        <a:prstGeom prst="rect">
          <a:avLst/>
        </a:prstGeom>
      </xdr:spPr>
    </xdr:pic>
    <xdr:clientData/>
  </xdr:twoCellAnchor>
  <xdr:twoCellAnchor editAs="oneCell">
    <xdr:from>
      <xdr:col>7</xdr:col>
      <xdr:colOff>651495</xdr:colOff>
      <xdr:row>0</xdr:row>
      <xdr:rowOff>38489</xdr:rowOff>
    </xdr:from>
    <xdr:to>
      <xdr:col>8</xdr:col>
      <xdr:colOff>717550</xdr:colOff>
      <xdr:row>2</xdr:row>
      <xdr:rowOff>20423</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8695" y="38489"/>
          <a:ext cx="936005" cy="68043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107950</xdr:colOff>
      <xdr:row>0</xdr:row>
      <xdr:rowOff>44450</xdr:rowOff>
    </xdr:from>
    <xdr:to>
      <xdr:col>2</xdr:col>
      <xdr:colOff>1221012</xdr:colOff>
      <xdr:row>1</xdr:row>
      <xdr:rowOff>133350</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50" y="44450"/>
          <a:ext cx="1113062" cy="546100"/>
        </a:xfrm>
        <a:prstGeom prst="rect">
          <a:avLst/>
        </a:prstGeom>
      </xdr:spPr>
    </xdr:pic>
    <xdr:clientData/>
  </xdr:twoCellAnchor>
  <xdr:twoCellAnchor editAs="oneCell">
    <xdr:from>
      <xdr:col>7</xdr:col>
      <xdr:colOff>651495</xdr:colOff>
      <xdr:row>0</xdr:row>
      <xdr:rowOff>38489</xdr:rowOff>
    </xdr:from>
    <xdr:to>
      <xdr:col>8</xdr:col>
      <xdr:colOff>717550</xdr:colOff>
      <xdr:row>2</xdr:row>
      <xdr:rowOff>20423</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798295" y="38489"/>
          <a:ext cx="936005" cy="68043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107950</xdr:colOff>
      <xdr:row>0</xdr:row>
      <xdr:rowOff>44450</xdr:rowOff>
    </xdr:from>
    <xdr:to>
      <xdr:col>2</xdr:col>
      <xdr:colOff>1221012</xdr:colOff>
      <xdr:row>1</xdr:row>
      <xdr:rowOff>133350</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25650" y="44450"/>
          <a:ext cx="1113062" cy="546100"/>
        </a:xfrm>
        <a:prstGeom prst="rect">
          <a:avLst/>
        </a:prstGeom>
      </xdr:spPr>
    </xdr:pic>
    <xdr:clientData/>
  </xdr:twoCellAnchor>
  <xdr:twoCellAnchor editAs="oneCell">
    <xdr:from>
      <xdr:col>8</xdr:col>
      <xdr:colOff>651495</xdr:colOff>
      <xdr:row>0</xdr:row>
      <xdr:rowOff>38489</xdr:rowOff>
    </xdr:from>
    <xdr:to>
      <xdr:col>9</xdr:col>
      <xdr:colOff>717550</xdr:colOff>
      <xdr:row>2</xdr:row>
      <xdr:rowOff>20423</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58695" y="38489"/>
          <a:ext cx="936005" cy="68043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603250</xdr:colOff>
      <xdr:row>0</xdr:row>
      <xdr:rowOff>6350</xdr:rowOff>
    </xdr:from>
    <xdr:to>
      <xdr:col>2</xdr:col>
      <xdr:colOff>1716312</xdr:colOff>
      <xdr:row>1</xdr:row>
      <xdr:rowOff>95250</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47900" y="6350"/>
          <a:ext cx="1113062" cy="546100"/>
        </a:xfrm>
        <a:prstGeom prst="rect">
          <a:avLst/>
        </a:prstGeom>
      </xdr:spPr>
    </xdr:pic>
    <xdr:clientData/>
  </xdr:twoCellAnchor>
  <xdr:twoCellAnchor editAs="oneCell">
    <xdr:from>
      <xdr:col>8</xdr:col>
      <xdr:colOff>302245</xdr:colOff>
      <xdr:row>0</xdr:row>
      <xdr:rowOff>38489</xdr:rowOff>
    </xdr:from>
    <xdr:to>
      <xdr:col>9</xdr:col>
      <xdr:colOff>368300</xdr:colOff>
      <xdr:row>2</xdr:row>
      <xdr:rowOff>20423</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92045" y="38489"/>
          <a:ext cx="936005" cy="68043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76201</xdr:colOff>
      <xdr:row>1</xdr:row>
      <xdr:rowOff>33760</xdr:rowOff>
    </xdr:from>
    <xdr:to>
      <xdr:col>7</xdr:col>
      <xdr:colOff>1765300</xdr:colOff>
      <xdr:row>1</xdr:row>
      <xdr:rowOff>1504950</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76201" y="268710"/>
          <a:ext cx="10198099" cy="1471190"/>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PH" sz="1100" b="1">
              <a:solidFill>
                <a:schemeClr val="dk1"/>
              </a:solidFill>
              <a:effectLst/>
              <a:latin typeface="Century Gothic" panose="020B0502020202020204" pitchFamily="34" charset="0"/>
              <a:ea typeface="+mn-ea"/>
              <a:cs typeface="+mn-cs"/>
            </a:rPr>
            <a:t>Instructions:</a:t>
          </a:r>
          <a:endParaRPr lang="en-PH" sz="1100">
            <a:solidFill>
              <a:schemeClr val="dk1"/>
            </a:solidFill>
            <a:effectLst/>
            <a:latin typeface="Century Gothic" panose="020B0502020202020204" pitchFamily="34" charset="0"/>
            <a:ea typeface="+mn-ea"/>
            <a:cs typeface="+mn-cs"/>
          </a:endParaRPr>
        </a:p>
        <a:p>
          <a:r>
            <a:rPr lang="en-PH" sz="1100">
              <a:solidFill>
                <a:schemeClr val="dk1"/>
              </a:solidFill>
              <a:effectLst/>
              <a:latin typeface="Century Gothic" panose="020B0502020202020204" pitchFamily="34" charset="0"/>
              <a:ea typeface="+mn-ea"/>
              <a:cs typeface="+mn-cs"/>
            </a:rPr>
            <a:t>This sheet shall be accomplished and updated during the following phases:</a:t>
          </a:r>
        </a:p>
        <a:p>
          <a:r>
            <a:rPr lang="en-PH" sz="1100">
              <a:solidFill>
                <a:schemeClr val="dk1"/>
              </a:solidFill>
              <a:effectLst/>
              <a:latin typeface="Century Gothic" panose="020B0502020202020204" pitchFamily="34" charset="0"/>
              <a:ea typeface="+mn-ea"/>
              <a:cs typeface="+mn-cs"/>
            </a:rPr>
            <a:t>i) Phase I – Performance Planning and Commitment, based on the results of the e-SAT;</a:t>
          </a:r>
        </a:p>
        <a:p>
          <a:r>
            <a:rPr lang="en-PH" sz="1100">
              <a:solidFill>
                <a:schemeClr val="dk1"/>
              </a:solidFill>
              <a:effectLst/>
              <a:latin typeface="Century Gothic" panose="020B0502020202020204" pitchFamily="34" charset="0"/>
              <a:ea typeface="+mn-ea"/>
              <a:cs typeface="+mn-cs"/>
            </a:rPr>
            <a:t>ii) Phase II – Performance Monitoring and Coaching, based on the agreements in the Performance Monitoring and Coaching Form; and</a:t>
          </a:r>
        </a:p>
        <a:p>
          <a:r>
            <a:rPr lang="en-PH" sz="1100">
              <a:solidFill>
                <a:schemeClr val="dk1"/>
              </a:solidFill>
              <a:effectLst/>
              <a:latin typeface="Century Gothic" panose="020B0502020202020204" pitchFamily="34" charset="0"/>
              <a:ea typeface="+mn-ea"/>
              <a:cs typeface="+mn-cs"/>
            </a:rPr>
            <a:t>iii) Phase IV – Performance Rewarding and Development Planning, based on the actual results of the IPCRF.</a:t>
          </a:r>
        </a:p>
        <a:p>
          <a:r>
            <a:rPr lang="en-PH" sz="1100">
              <a:solidFill>
                <a:schemeClr val="dk1"/>
              </a:solidFill>
              <a:effectLst/>
              <a:latin typeface="Century Gothic" panose="020B0502020202020204" pitchFamily="34" charset="0"/>
              <a:ea typeface="+mn-ea"/>
              <a:cs typeface="+mn-cs"/>
            </a:rPr>
            <a:t> </a:t>
          </a:r>
        </a:p>
        <a:p>
          <a:r>
            <a:rPr lang="en-PH" sz="1100">
              <a:solidFill>
                <a:schemeClr val="dk1"/>
              </a:solidFill>
              <a:effectLst/>
              <a:latin typeface="Century Gothic" panose="020B0502020202020204" pitchFamily="34" charset="0"/>
              <a:ea typeface="+mn-ea"/>
              <a:cs typeface="+mn-cs"/>
            </a:rPr>
            <a:t>The Individual Development Plan (IDP) shall be updated annually based on the focus indicators of the PMES for Teachers for the school year and the teacher’s actual performance.</a:t>
          </a:r>
        </a:p>
      </xdr:txBody>
    </xdr:sp>
    <xdr:clientData/>
  </xdr:twoCellAnchor>
  <mc:AlternateContent xmlns:mc="http://schemas.openxmlformats.org/markup-compatibility/2006">
    <mc:Choice xmlns:a14="http://schemas.microsoft.com/office/drawing/2010/main" Requires="a14">
      <xdr:twoCellAnchor>
        <xdr:from>
          <xdr:col>6</xdr:col>
          <xdr:colOff>22860</xdr:colOff>
          <xdr:row>25</xdr:row>
          <xdr:rowOff>182880</xdr:rowOff>
        </xdr:from>
        <xdr:to>
          <xdr:col>7</xdr:col>
          <xdr:colOff>7620</xdr:colOff>
          <xdr:row>29</xdr:row>
          <xdr:rowOff>91440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4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Commitment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640080</xdr:colOff>
          <xdr:row>25</xdr:row>
          <xdr:rowOff>175260</xdr:rowOff>
        </xdr:from>
        <xdr:to>
          <xdr:col>8</xdr:col>
          <xdr:colOff>0</xdr:colOff>
          <xdr:row>29</xdr:row>
          <xdr:rowOff>83820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1400-000003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FINALIZE</a:t>
              </a:r>
            </a:p>
            <a:p>
              <a:pPr algn="ctr" rtl="0">
                <a:defRPr sz="1000"/>
              </a:pPr>
              <a:r>
                <a:rPr lang="en-US" sz="1400" b="1" i="0" u="none" strike="noStrike" baseline="0">
                  <a:solidFill>
                    <a:srgbClr val="000000"/>
                  </a:solidFill>
                  <a:latin typeface="Calibri"/>
                  <a:cs typeface="Calibri"/>
                </a:rPr>
                <a:t>IPCRF</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57150</xdr:colOff>
      <xdr:row>1</xdr:row>
      <xdr:rowOff>6350</xdr:rowOff>
    </xdr:from>
    <xdr:to>
      <xdr:col>7</xdr:col>
      <xdr:colOff>1746249</xdr:colOff>
      <xdr:row>1</xdr:row>
      <xdr:rowOff>984250</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57150" y="6216650"/>
          <a:ext cx="11195049" cy="977900"/>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PH" sz="1100" b="1">
              <a:solidFill>
                <a:schemeClr val="dk1"/>
              </a:solidFill>
              <a:effectLst/>
              <a:latin typeface="Century Gothic" panose="020B0502020202020204" pitchFamily="34" charset="0"/>
              <a:ea typeface="+mn-ea"/>
              <a:cs typeface="+mn-cs"/>
            </a:rPr>
            <a:t>IMPORTANT NOTE:</a:t>
          </a:r>
          <a:endParaRPr lang="en-PH" sz="1100">
            <a:solidFill>
              <a:schemeClr val="dk1"/>
            </a:solidFill>
            <a:effectLst/>
            <a:latin typeface="Century Gothic" panose="020B0502020202020204" pitchFamily="34" charset="0"/>
            <a:ea typeface="+mn-ea"/>
            <a:cs typeface="+mn-cs"/>
          </a:endParaRPr>
        </a:p>
        <a:p>
          <a:r>
            <a:rPr lang="en-PH" sz="1100">
              <a:solidFill>
                <a:schemeClr val="dk1"/>
              </a:solidFill>
              <a:effectLst/>
              <a:latin typeface="Century Gothic" panose="020B0502020202020204" pitchFamily="34" charset="0"/>
              <a:ea typeface="+mn-ea"/>
              <a:cs typeface="+mn-cs"/>
            </a:rPr>
            <a:t>In accordance with </a:t>
          </a:r>
          <a:r>
            <a:rPr lang="en-PH" sz="1100" b="1">
              <a:solidFill>
                <a:schemeClr val="dk1"/>
              </a:solidFill>
              <a:effectLst/>
              <a:latin typeface="Century Gothic" panose="020B0502020202020204" pitchFamily="34" charset="0"/>
              <a:ea typeface="+mn-ea"/>
              <a:cs typeface="+mn-cs"/>
            </a:rPr>
            <a:t>Section 28 of DepEd Order No. 34, s. 2025, </a:t>
          </a:r>
          <a:r>
            <a:rPr lang="en-PH" sz="1100" b="1" i="1">
              <a:solidFill>
                <a:schemeClr val="dk1"/>
              </a:solidFill>
              <a:effectLst/>
              <a:latin typeface="Century Gothic" panose="020B0502020202020204" pitchFamily="34" charset="0"/>
              <a:ea typeface="+mn-ea"/>
              <a:cs typeface="+mn-cs"/>
            </a:rPr>
            <a:t>Amendments and Clarifications to DepEd Order No. 024, s. 2025</a:t>
          </a:r>
          <a:r>
            <a:rPr lang="en-PH" sz="1100" b="1">
              <a:solidFill>
                <a:schemeClr val="dk1"/>
              </a:solidFill>
              <a:effectLst/>
              <a:latin typeface="Century Gothic" panose="020B0502020202020204" pitchFamily="34" charset="0"/>
              <a:ea typeface="+mn-ea"/>
              <a:cs typeface="+mn-cs"/>
            </a:rPr>
            <a:t>,</a:t>
          </a:r>
          <a:r>
            <a:rPr lang="en-PH" sz="1100">
              <a:solidFill>
                <a:schemeClr val="dk1"/>
              </a:solidFill>
              <a:effectLst/>
              <a:latin typeface="Century Gothic" panose="020B0502020202020204" pitchFamily="34" charset="0"/>
              <a:ea typeface="+mn-ea"/>
              <a:cs typeface="+mn-cs"/>
            </a:rPr>
            <a:t> teachers with identified PPST indicators for improvement in their Teacher’s Commitment Form must include these in their IDP. Include up to three (3) PPST indicators from your Teachers’ Commitment Form, if applicable. These indicators shall be addressed through appropriate professional development interventions and learning activities.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B7B43E-65F9-4175-B750-89C1EEB242CE}" name="meta3" displayName="meta3" ref="A1:B27" totalsRowShown="0" headerRowDxfId="85" dataDxfId="84">
  <autoFilter ref="A1:B27" xr:uid="{32B7B43E-65F9-4175-B750-89C1EEB242CE}"/>
  <tableColumns count="2">
    <tableColumn id="1" xr3:uid="{76026FD7-B447-438A-A934-EAA255A8F740}" name="property" dataDxfId="83"/>
    <tableColumn id="2" xr3:uid="{832FB516-B2CE-4FF6-919D-1B09024FF051}" name="value" dataDxfId="8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BA6F2F-C694-49C9-8684-2116757D3FFB}" name="demographics" displayName="demographics" ref="A1:BQ2" totalsRowShown="0">
  <autoFilter ref="A1:BQ2" xr:uid="{2ABA6F2F-C694-49C9-8684-2116757D3FFB}"/>
  <tableColumns count="69">
    <tableColumn id="1" xr3:uid="{52511DA4-7920-4A53-912B-D785ADAE3A71}" name="uniquepersonnelid">
      <calculatedColumnFormula>demographics[[#This Row],[divisionid]]&amp;"-"&amp;demographics[[#This Row],[school_id]]&amp;"-"&amp;demographics[[#This Row],[teacherid2]]</calculatedColumnFormula>
    </tableColumn>
    <tableColumn id="10" xr3:uid="{5FDA7385-3A0F-416A-B726-EB10D7894419}" name="rating_period">
      <calculatedColumnFormula>"SY"&amp;" "&amp;HOME!E15</calculatedColumnFormula>
    </tableColumn>
    <tableColumn id="32" xr3:uid="{F7D8D4D5-E3C9-492F-9BCC-00B6A1270B3C}" name="regionid">
      <calculatedColumnFormula>VLOOKUP('Demographic Profile'!F7,regionid,2,0)</calculatedColumnFormula>
    </tableColumn>
    <tableColumn id="61" xr3:uid="{8BA376FE-820B-404E-AF09-CCB79A418A0F}" name="region_name">
      <calculatedColumnFormula>'Demographic Profile'!F7</calculatedColumnFormula>
    </tableColumn>
    <tableColumn id="2" xr3:uid="{7C97460B-3BEF-4939-90AD-5A44BB871F7A}" name="divisionid">
      <calculatedColumnFormula>VLOOKUP('Demographic Profile'!F8,divisionid,2,0)</calculatedColumnFormula>
    </tableColumn>
    <tableColumn id="62" xr3:uid="{8C2AC2C7-E410-4B33-AF3B-363A124C2058}" name="division_name">
      <calculatedColumnFormula>'Demographic Profile'!F8</calculatedColumnFormula>
    </tableColumn>
    <tableColumn id="3" xr3:uid="{9CCAEE85-E736-41BA-A81D-A0C92D54E495}" name="school_id">
      <calculatedColumnFormula>'Demographic Profile'!F9</calculatedColumnFormula>
    </tableColumn>
    <tableColumn id="67" xr3:uid="{D29D2FBA-122C-421B-ACF3-B7698F21D5B4}" name="school_name2" dataDxfId="80">
      <calculatedColumnFormula>school_name</calculatedColumnFormula>
    </tableColumn>
    <tableColumn id="64" xr3:uid="{864A2A04-5F3C-4967-93C3-D2F64315D602}" name="school_type">
      <calculatedColumnFormula>'Demographic Profile'!F11</calculatedColumnFormula>
    </tableColumn>
    <tableColumn id="65" xr3:uid="{2DA50158-D58B-475E-9B20-D38011FE2FBF}" name="school_size">
      <calculatedColumnFormula>'Demographic Profile'!F12</calculatedColumnFormula>
    </tableColumn>
    <tableColumn id="66" xr3:uid="{E89B0560-F90D-418B-8D27-D3720145DB30}" name="curricular_classification">
      <calculatedColumnFormula>'Demographic Profile'!F13</calculatedColumnFormula>
    </tableColumn>
    <tableColumn id="60" xr3:uid="{06709B1E-36FF-412A-B2DC-69D8EFCD919F}" name="teacherid2">
      <calculatedColumnFormula>'Demographic Profile'!N10</calculatedColumnFormula>
    </tableColumn>
    <tableColumn id="5" xr3:uid="{258760D6-E3F0-4EF5-9051-92D02349737D}" name="lastname">
      <calculatedColumnFormula>'Demographic Profile'!demographics_lastname</calculatedColumnFormula>
    </tableColumn>
    <tableColumn id="35" xr3:uid="{96C807AA-75D2-43C9-BEA9-D621ECB6373D}" name="firstname">
      <calculatedColumnFormula>'Demographic Profile'!demographics_firstname</calculatedColumnFormula>
    </tableColumn>
    <tableColumn id="36" xr3:uid="{9DFE3A04-8C80-486E-AF85-F20FD0FD6EAF}" name="middlename">
      <calculatedColumnFormula>'Demographic Profile'!demographics_middlename</calculatedColumnFormula>
    </tableColumn>
    <tableColumn id="37" xr3:uid="{8B848E4F-8A46-4F88-99F1-1497BDD78C47}" name="email">
      <calculatedColumnFormula>'Demographic Profile'!demographics_email</calculatedColumnFormula>
    </tableColumn>
    <tableColumn id="48" xr3:uid="{929781CE-136B-4567-8F54-96547DC959B5}" name="TIN">
      <calculatedColumnFormula>'Demographic Profile'!R12</calculatedColumnFormula>
    </tableColumn>
    <tableColumn id="33" xr3:uid="{0FE90E43-52DB-4B83-B498-48065CAE369C}" name="career_stage">
      <calculatedColumnFormula>VLOOKUP(selected_career_stage,competency_level_vlookup,2,0)</calculatedColumnFormula>
    </tableColumn>
    <tableColumn id="12" xr3:uid="{ABB23D9D-3F33-42A1-8493-B3B0E828E3C3}" name="position">
      <calculatedColumnFormula>'Demographic Profile'!N11</calculatedColumnFormula>
    </tableColumn>
    <tableColumn id="6" xr3:uid="{0BA9A711-BB8F-438B-8314-5AFA7ECD651C}" name="level_taught">
      <calculatedColumnFormula>'Demographic Profile'!demographics_level</calculatedColumnFormula>
    </tableColumn>
    <tableColumn id="24" xr3:uid="{8C5CEE86-C692-42CF-8414-13BCE068C898}" name="employment_status">
      <calculatedColumnFormula>'Demographic Profile'!demographics_empstatus</calculatedColumnFormula>
    </tableColumn>
    <tableColumn id="25" xr3:uid="{7A87DDF1-28EF-4B56-A891-A5B7BCFDD868}" name="age">
      <calculatedColumnFormula>'Demographic Profile'!demographics_age</calculatedColumnFormula>
    </tableColumn>
    <tableColumn id="26" xr3:uid="{D858CAAF-839D-4A2F-84E4-E3AD9D3BF60C}" name="sex">
      <calculatedColumnFormula>'Demographic Profile'!demographics_sex</calculatedColumnFormula>
    </tableColumn>
    <tableColumn id="28" xr3:uid="{B7686D48-3F37-4313-AF6C-934847FF1CCB}" name="years_in_teaching">
      <calculatedColumnFormula>'Demographic Profile'!R7</calculatedColumnFormula>
    </tableColumn>
    <tableColumn id="29" xr3:uid="{45B75BC3-7910-4506-9D15-D2623FC3B47D}" name="highest_degree">
      <calculatedColumnFormula>'Demographic Profile'!R8</calculatedColumnFormula>
    </tableColumn>
    <tableColumn id="16" xr3:uid="{684FC93D-A9FC-483B-B0E1-CF3ED18765D3}" name="profstandards_rating" dataDxfId="79">
      <calculatedColumnFormula>'Encoding Part 1'!N28</calculatedColumnFormula>
    </tableColumn>
    <tableColumn id="11" xr3:uid="{D307143C-B086-43A3-BA78-2A1250972B6C}" name="descriptive_rating">
      <calculatedColumnFormula>'Encoding Part 1'!N29</calculatedColumnFormula>
    </tableColumn>
    <tableColumn id="17" xr3:uid="{309205E5-3587-47C8-8B31-94399A41B542}" name="self_mgt_rating">
      <calculatedColumnFormula>'Part 2-A'!T11</calculatedColumnFormula>
    </tableColumn>
    <tableColumn id="34" xr3:uid="{84AF070B-1B28-44BA-8B4D-6B1C9C801912}" name="prof_ethics_rating">
      <calculatedColumnFormula>'Part 2-A'!T18</calculatedColumnFormula>
    </tableColumn>
    <tableColumn id="22" xr3:uid="{CB9FF49F-0B69-44A4-91BD-C35907965B99}" name="results_focus_rating">
      <calculatedColumnFormula>'Part 2-A'!T25</calculatedColumnFormula>
    </tableColumn>
    <tableColumn id="23" xr3:uid="{B6AF54E7-F610-4DD4-8432-83C33729CDFF}" name="teamwork_rating">
      <calculatedColumnFormula>'Part 2-A'!T32</calculatedColumnFormula>
    </tableColumn>
    <tableColumn id="27" xr3:uid="{CF39F2B9-573C-4823-8C4B-B30B710B094E}" name="service_orientation_rating">
      <calculatedColumnFormula>'Part 2-A'!T39</calculatedColumnFormula>
    </tableColumn>
    <tableColumn id="49" xr3:uid="{DD107770-E215-4257-92A7-3EC9CCE8F95B}" name="innovation_rating">
      <calculatedColumnFormula>'Part 2-A'!T46</calculatedColumnFormula>
    </tableColumn>
    <tableColumn id="51" xr3:uid="{2BBE59BD-E356-4A11-A95A-4C3D25556DEC}" name="gender_sensitivity_rating">
      <calculatedColumnFormula>'Part 2-A'!T53</calculatedColumnFormula>
    </tableColumn>
    <tableColumn id="52" xr3:uid="{F3670C18-ECAA-4425-8049-9A48B4450F03}" name="part2A_rating">
      <calculatedColumnFormula>'Part 2-A'!N60</calculatedColumnFormula>
    </tableColumn>
    <tableColumn id="53" xr3:uid="{08A5FF64-2B22-4F08-8A91-FF673AC4E767}" name="descriptive_rating2">
      <calculatedColumnFormula>'Part 2-A'!R60</calculatedColumnFormula>
    </tableColumn>
    <tableColumn id="54" xr3:uid="{AB1B7C24-6A9B-4814-91BA-4FCD77DE44CA}" name="lc_leadingpeople_rating">
      <calculatedColumnFormula>'Part 2-B'!F8</calculatedColumnFormula>
    </tableColumn>
    <tableColumn id="55" xr3:uid="{8769AE47-09DF-4FC8-98BC-DECDA7B27C63}" name="lc_peopleperf_rating">
      <calculatedColumnFormula>'Part 2-B'!F13</calculatedColumnFormula>
    </tableColumn>
    <tableColumn id="56" xr3:uid="{7EA4DCFA-543D-4FA9-8861-DB7AF1D062EA}" name="lc_peopledev_rating">
      <calculatedColumnFormula>'Part 2-B'!F18</calculatedColumnFormula>
    </tableColumn>
    <tableColumn id="57" xr3:uid="{FFD95AFF-804A-49A1-896A-EA5303CC3234}" name="part2B_rating">
      <calculatedColumnFormula>'Part 2-B'!E25</calculatedColumnFormula>
    </tableColumn>
    <tableColumn id="59" xr3:uid="{920A65FC-40E2-426C-877C-E709ACB9EB3A}" name="descriptive_rating7">
      <calculatedColumnFormula>'Part 2-B'!F25</calculatedColumnFormula>
    </tableColumn>
    <tableColumn id="13" xr3:uid="{DBA6BFE6-3B84-42A3-BF67-E86487A19335}" name="idp_strengths1">
      <calculatedColumnFormula>'PART 4-IDP'!A7</calculatedColumnFormula>
    </tableColumn>
    <tableColumn id="14" xr3:uid="{1B27446A-8227-4520-A125-2311080021F8}" name="idp_strengths2">
      <calculatedColumnFormula>'PART 4-IDP'!A8</calculatedColumnFormula>
    </tableColumn>
    <tableColumn id="20" xr3:uid="{807C4FEB-15FA-41AA-873C-A2A9BCCC122F}" name="idp_strengths3">
      <calculatedColumnFormula>'PART 4-IDP'!A9</calculatedColumnFormula>
    </tableColumn>
    <tableColumn id="15" xr3:uid="{85BBB471-DC03-4E27-901C-95C14994BCF7}" name="idp_devneeds1">
      <calculatedColumnFormula>'PART 4-IDP'!C7</calculatedColumnFormula>
    </tableColumn>
    <tableColumn id="21" xr3:uid="{E4AC3250-F5A3-4E16-9412-DD07F6C7EE55}" name="idp_devneeds2">
      <calculatedColumnFormula>'PART 4-IDP'!C8</calculatedColumnFormula>
    </tableColumn>
    <tableColumn id="30" xr3:uid="{B59D0DB4-DEED-4B3D-8D5C-1A17CBC54B07}" name="idp_devneeds3">
      <calculatedColumnFormula>'PART 4-IDP'!C9</calculatedColumnFormula>
    </tableColumn>
    <tableColumn id="31" xr3:uid="{7BD1F821-3654-4721-B7B1-BD37F3B72794}" name="core_strengths1">
      <calculatedColumnFormula>'PART 4-IDP'!A11</calculatedColumnFormula>
    </tableColumn>
    <tableColumn id="46" xr3:uid="{5BA32188-2859-460C-ACBC-18C54CEBF304}" name="core_strengths2">
      <calculatedColumnFormula>'PART 4-IDP'!A12</calculatedColumnFormula>
    </tableColumn>
    <tableColumn id="42" xr3:uid="{E735FC90-22ED-4C6B-9F27-1FDCFB37EA5F}" name="core_strengths3">
      <calculatedColumnFormula>'PART 4-IDP'!A13</calculatedColumnFormula>
    </tableColumn>
    <tableColumn id="50" xr3:uid="{8FE937FA-1071-4C8F-921C-D410ADE10D36}" name="core_devneeds1">
      <calculatedColumnFormula>'PART 4-IDP'!C11</calculatedColumnFormula>
    </tableColumn>
    <tableColumn id="58" xr3:uid="{C52B901B-6B4D-453F-9DF2-D1E67FB50D60}" name="core_devneeds2">
      <calculatedColumnFormula>'PART 4-IDP'!C12</calculatedColumnFormula>
    </tableColumn>
    <tableColumn id="63" xr3:uid="{44F68404-83AD-4285-9D69-D77F71E727A3}" name="core_devneeds3">
      <calculatedColumnFormula>'PART 4-IDP'!C13</calculatedColumnFormula>
    </tableColumn>
    <tableColumn id="68" xr3:uid="{2B49529A-5E8A-4061-B52B-E61A3F1E02E6}" name="leadership_competencies_strengths">
      <calculatedColumnFormula>'PART 4-IDP'!A15</calculatedColumnFormula>
    </tableColumn>
    <tableColumn id="69" xr3:uid="{ABFFA251-F6C5-474A-93EF-C6CE9851FF97}" name="leadership_competencies_needs">
      <calculatedColumnFormula>'PART 4-IDP'!C15</calculatedColumnFormula>
    </tableColumn>
    <tableColumn id="7" xr3:uid="{911E366E-A6BE-4754-9358-EA597018319F}" name="rater_lastname">
      <calculatedColumnFormula>'Encoding Part 1'!H7</calculatedColumnFormula>
    </tableColumn>
    <tableColumn id="40" xr3:uid="{7FB5BA89-5284-4135-95AF-FB356BF01E80}" name="rater_firstname">
      <calculatedColumnFormula>'Encoding Part 1'!M7</calculatedColumnFormula>
    </tableColumn>
    <tableColumn id="41" xr3:uid="{AC1633D9-5602-4686-9ECC-A6DA8834DB39}" name="rater_middlename">
      <calculatedColumnFormula>'Encoding Part 1'!O7</calculatedColumnFormula>
    </tableColumn>
    <tableColumn id="8" xr3:uid="{944ACF22-1B94-4F02-80C9-359513960458}" name="rater_position">
      <calculatedColumnFormula>'Encoding Part 1'!H8</calculatedColumnFormula>
    </tableColumn>
    <tableColumn id="43" xr3:uid="{C2C3F1AB-A3A3-4A09-BC05-E66E40CF3504}" name="rater_email">
      <calculatedColumnFormula>'Encoding Part 1'!M8</calculatedColumnFormula>
    </tableColumn>
    <tableColumn id="38" xr3:uid="{3B5638D0-7BBD-46EB-8754-E093BBAFC008}" name="approving_authority_lastname">
      <calculatedColumnFormula>'Encoding Part 1'!G33</calculatedColumnFormula>
    </tableColumn>
    <tableColumn id="44" xr3:uid="{86A183C1-7D2A-439A-819E-66C14ED460E3}" name="approving_authority_firstname">
      <calculatedColumnFormula>'Encoding Part 1'!L33</calculatedColumnFormula>
    </tableColumn>
    <tableColumn id="45" xr3:uid="{F24046F2-8187-4130-AABD-BF9305E83C46}" name="approving_authority_middlename">
      <calculatedColumnFormula>'Encoding Part 1'!O33</calculatedColumnFormula>
    </tableColumn>
    <tableColumn id="39" xr3:uid="{14797CDF-FF28-4E84-A074-442D8CF1796D}" name="approving_authority_position">
      <calculatedColumnFormula>'Encoding Part 1'!G34</calculatedColumnFormula>
    </tableColumn>
    <tableColumn id="47" xr3:uid="{480443A3-6C93-49AA-B0D0-4F04350FEA3B}" name="approving_authority_email">
      <calculatedColumnFormula>'Encoding Part 1'!L34</calculatedColumnFormula>
    </tableColumn>
    <tableColumn id="9" xr3:uid="{FA119C33-D8C6-4014-9721-71DB88B5D91B}" name="date_of_review" dataDxfId="78">
      <calculatedColumnFormula>'Encoding Part 1'!H9</calculatedColumnFormula>
    </tableColumn>
    <tableColumn id="18" xr3:uid="{DE20762D-FD60-4618-9E59-0C0C4C6278B8}" name="Part1_date_finalized" dataDxfId="77"/>
    <tableColumn id="19" xr3:uid="{D6AD0A5C-B2FA-48C7-ABFD-7F1A5F72FBF1}" name="Part2_date_finalized" dataDxfId="76"/>
    <tableColumn id="4" xr3:uid="{B6F60973-BFEF-447B-ABE1-36007C66DCCA}" name="Part4_date_finalized" dataDxfId="7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christineanne.prepuse@deped.gov.ph" TargetMode="External"/><Relationship Id="rId5" Type="http://schemas.openxmlformats.org/officeDocument/2006/relationships/ctrlProp" Target="../ctrlProps/ctrlProp54.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26" Type="http://schemas.openxmlformats.org/officeDocument/2006/relationships/ctrlProp" Target="../ctrlProps/ctrlProp79.xml"/><Relationship Id="rId21" Type="http://schemas.openxmlformats.org/officeDocument/2006/relationships/ctrlProp" Target="../ctrlProps/ctrlProp74.xml"/><Relationship Id="rId42" Type="http://schemas.openxmlformats.org/officeDocument/2006/relationships/ctrlProp" Target="../ctrlProps/ctrlProp95.xml"/><Relationship Id="rId47" Type="http://schemas.openxmlformats.org/officeDocument/2006/relationships/ctrlProp" Target="../ctrlProps/ctrlProp100.xml"/><Relationship Id="rId63" Type="http://schemas.openxmlformats.org/officeDocument/2006/relationships/ctrlProp" Target="../ctrlProps/ctrlProp116.xml"/><Relationship Id="rId68" Type="http://schemas.openxmlformats.org/officeDocument/2006/relationships/ctrlProp" Target="../ctrlProps/ctrlProp121.xml"/><Relationship Id="rId84" Type="http://schemas.openxmlformats.org/officeDocument/2006/relationships/ctrlProp" Target="../ctrlProps/ctrlProp137.xml"/><Relationship Id="rId89" Type="http://schemas.openxmlformats.org/officeDocument/2006/relationships/ctrlProp" Target="../ctrlProps/ctrlProp142.xml"/><Relationship Id="rId16" Type="http://schemas.openxmlformats.org/officeDocument/2006/relationships/ctrlProp" Target="../ctrlProps/ctrlProp69.xml"/><Relationship Id="rId11" Type="http://schemas.openxmlformats.org/officeDocument/2006/relationships/ctrlProp" Target="../ctrlProps/ctrlProp64.xml"/><Relationship Id="rId32" Type="http://schemas.openxmlformats.org/officeDocument/2006/relationships/ctrlProp" Target="../ctrlProps/ctrlProp85.xml"/><Relationship Id="rId37" Type="http://schemas.openxmlformats.org/officeDocument/2006/relationships/ctrlProp" Target="../ctrlProps/ctrlProp90.xml"/><Relationship Id="rId53" Type="http://schemas.openxmlformats.org/officeDocument/2006/relationships/ctrlProp" Target="../ctrlProps/ctrlProp106.xml"/><Relationship Id="rId58" Type="http://schemas.openxmlformats.org/officeDocument/2006/relationships/ctrlProp" Target="../ctrlProps/ctrlProp111.xml"/><Relationship Id="rId74" Type="http://schemas.openxmlformats.org/officeDocument/2006/relationships/ctrlProp" Target="../ctrlProps/ctrlProp127.xml"/><Relationship Id="rId79" Type="http://schemas.openxmlformats.org/officeDocument/2006/relationships/ctrlProp" Target="../ctrlProps/ctrlProp132.xml"/><Relationship Id="rId102" Type="http://schemas.openxmlformats.org/officeDocument/2006/relationships/ctrlProp" Target="../ctrlProps/ctrlProp155.xml"/><Relationship Id="rId5" Type="http://schemas.openxmlformats.org/officeDocument/2006/relationships/ctrlProp" Target="../ctrlProps/ctrlProp58.xml"/><Relationship Id="rId90" Type="http://schemas.openxmlformats.org/officeDocument/2006/relationships/ctrlProp" Target="../ctrlProps/ctrlProp143.xml"/><Relationship Id="rId95" Type="http://schemas.openxmlformats.org/officeDocument/2006/relationships/ctrlProp" Target="../ctrlProps/ctrlProp148.xml"/><Relationship Id="rId22" Type="http://schemas.openxmlformats.org/officeDocument/2006/relationships/ctrlProp" Target="../ctrlProps/ctrlProp75.xml"/><Relationship Id="rId27" Type="http://schemas.openxmlformats.org/officeDocument/2006/relationships/ctrlProp" Target="../ctrlProps/ctrlProp80.xml"/><Relationship Id="rId43" Type="http://schemas.openxmlformats.org/officeDocument/2006/relationships/ctrlProp" Target="../ctrlProps/ctrlProp96.xml"/><Relationship Id="rId48" Type="http://schemas.openxmlformats.org/officeDocument/2006/relationships/ctrlProp" Target="../ctrlProps/ctrlProp101.xml"/><Relationship Id="rId64" Type="http://schemas.openxmlformats.org/officeDocument/2006/relationships/ctrlProp" Target="../ctrlProps/ctrlProp117.xml"/><Relationship Id="rId69" Type="http://schemas.openxmlformats.org/officeDocument/2006/relationships/ctrlProp" Target="../ctrlProps/ctrlProp122.xml"/><Relationship Id="rId80" Type="http://schemas.openxmlformats.org/officeDocument/2006/relationships/ctrlProp" Target="../ctrlProps/ctrlProp133.xml"/><Relationship Id="rId85" Type="http://schemas.openxmlformats.org/officeDocument/2006/relationships/ctrlProp" Target="../ctrlProps/ctrlProp138.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ctrlProp" Target="../ctrlProps/ctrlProp91.xml"/><Relationship Id="rId46" Type="http://schemas.openxmlformats.org/officeDocument/2006/relationships/ctrlProp" Target="../ctrlProps/ctrlProp99.xml"/><Relationship Id="rId59" Type="http://schemas.openxmlformats.org/officeDocument/2006/relationships/ctrlProp" Target="../ctrlProps/ctrlProp112.xml"/><Relationship Id="rId67" Type="http://schemas.openxmlformats.org/officeDocument/2006/relationships/ctrlProp" Target="../ctrlProps/ctrlProp120.xml"/><Relationship Id="rId103" Type="http://schemas.openxmlformats.org/officeDocument/2006/relationships/ctrlProp" Target="../ctrlProps/ctrlProp156.xml"/><Relationship Id="rId20" Type="http://schemas.openxmlformats.org/officeDocument/2006/relationships/ctrlProp" Target="../ctrlProps/ctrlProp73.xml"/><Relationship Id="rId41" Type="http://schemas.openxmlformats.org/officeDocument/2006/relationships/ctrlProp" Target="../ctrlProps/ctrlProp94.xml"/><Relationship Id="rId54" Type="http://schemas.openxmlformats.org/officeDocument/2006/relationships/ctrlProp" Target="../ctrlProps/ctrlProp107.xml"/><Relationship Id="rId62" Type="http://schemas.openxmlformats.org/officeDocument/2006/relationships/ctrlProp" Target="../ctrlProps/ctrlProp115.xml"/><Relationship Id="rId70" Type="http://schemas.openxmlformats.org/officeDocument/2006/relationships/ctrlProp" Target="../ctrlProps/ctrlProp123.xml"/><Relationship Id="rId75" Type="http://schemas.openxmlformats.org/officeDocument/2006/relationships/ctrlProp" Target="../ctrlProps/ctrlProp128.xml"/><Relationship Id="rId83" Type="http://schemas.openxmlformats.org/officeDocument/2006/relationships/ctrlProp" Target="../ctrlProps/ctrlProp136.xml"/><Relationship Id="rId88" Type="http://schemas.openxmlformats.org/officeDocument/2006/relationships/ctrlProp" Target="../ctrlProps/ctrlProp141.xml"/><Relationship Id="rId91" Type="http://schemas.openxmlformats.org/officeDocument/2006/relationships/ctrlProp" Target="../ctrlProps/ctrlProp144.xml"/><Relationship Id="rId96" Type="http://schemas.openxmlformats.org/officeDocument/2006/relationships/ctrlProp" Target="../ctrlProps/ctrlProp149.xml"/><Relationship Id="rId1" Type="http://schemas.openxmlformats.org/officeDocument/2006/relationships/printerSettings" Target="../printerSettings/printerSettings4.bin"/><Relationship Id="rId6" Type="http://schemas.openxmlformats.org/officeDocument/2006/relationships/ctrlProp" Target="../ctrlProps/ctrlProp59.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49" Type="http://schemas.openxmlformats.org/officeDocument/2006/relationships/ctrlProp" Target="../ctrlProps/ctrlProp102.xml"/><Relationship Id="rId57" Type="http://schemas.openxmlformats.org/officeDocument/2006/relationships/ctrlProp" Target="../ctrlProps/ctrlProp110.xml"/><Relationship Id="rId10" Type="http://schemas.openxmlformats.org/officeDocument/2006/relationships/ctrlProp" Target="../ctrlProps/ctrlProp63.xml"/><Relationship Id="rId31" Type="http://schemas.openxmlformats.org/officeDocument/2006/relationships/ctrlProp" Target="../ctrlProps/ctrlProp84.xml"/><Relationship Id="rId44" Type="http://schemas.openxmlformats.org/officeDocument/2006/relationships/ctrlProp" Target="../ctrlProps/ctrlProp97.xml"/><Relationship Id="rId52" Type="http://schemas.openxmlformats.org/officeDocument/2006/relationships/ctrlProp" Target="../ctrlProps/ctrlProp105.xml"/><Relationship Id="rId60" Type="http://schemas.openxmlformats.org/officeDocument/2006/relationships/ctrlProp" Target="../ctrlProps/ctrlProp113.xml"/><Relationship Id="rId65" Type="http://schemas.openxmlformats.org/officeDocument/2006/relationships/ctrlProp" Target="../ctrlProps/ctrlProp118.xml"/><Relationship Id="rId73" Type="http://schemas.openxmlformats.org/officeDocument/2006/relationships/ctrlProp" Target="../ctrlProps/ctrlProp126.xml"/><Relationship Id="rId78" Type="http://schemas.openxmlformats.org/officeDocument/2006/relationships/ctrlProp" Target="../ctrlProps/ctrlProp131.xml"/><Relationship Id="rId81" Type="http://schemas.openxmlformats.org/officeDocument/2006/relationships/ctrlProp" Target="../ctrlProps/ctrlProp134.xml"/><Relationship Id="rId86" Type="http://schemas.openxmlformats.org/officeDocument/2006/relationships/ctrlProp" Target="../ctrlProps/ctrlProp139.xml"/><Relationship Id="rId94" Type="http://schemas.openxmlformats.org/officeDocument/2006/relationships/ctrlProp" Target="../ctrlProps/ctrlProp147.xml"/><Relationship Id="rId99" Type="http://schemas.openxmlformats.org/officeDocument/2006/relationships/ctrlProp" Target="../ctrlProps/ctrlProp152.xml"/><Relationship Id="rId101" Type="http://schemas.openxmlformats.org/officeDocument/2006/relationships/ctrlProp" Target="../ctrlProps/ctrlProp154.xml"/><Relationship Id="rId4" Type="http://schemas.openxmlformats.org/officeDocument/2006/relationships/ctrlProp" Target="../ctrlProps/ctrlProp57.xml"/><Relationship Id="rId9" Type="http://schemas.openxmlformats.org/officeDocument/2006/relationships/ctrlProp" Target="../ctrlProps/ctrlProp62.xml"/><Relationship Id="rId13" Type="http://schemas.openxmlformats.org/officeDocument/2006/relationships/ctrlProp" Target="../ctrlProps/ctrlProp66.xml"/><Relationship Id="rId18" Type="http://schemas.openxmlformats.org/officeDocument/2006/relationships/ctrlProp" Target="../ctrlProps/ctrlProp71.xml"/><Relationship Id="rId39" Type="http://schemas.openxmlformats.org/officeDocument/2006/relationships/ctrlProp" Target="../ctrlProps/ctrlProp92.xml"/><Relationship Id="rId34" Type="http://schemas.openxmlformats.org/officeDocument/2006/relationships/ctrlProp" Target="../ctrlProps/ctrlProp87.xml"/><Relationship Id="rId50" Type="http://schemas.openxmlformats.org/officeDocument/2006/relationships/ctrlProp" Target="../ctrlProps/ctrlProp103.xml"/><Relationship Id="rId55" Type="http://schemas.openxmlformats.org/officeDocument/2006/relationships/ctrlProp" Target="../ctrlProps/ctrlProp108.xml"/><Relationship Id="rId76" Type="http://schemas.openxmlformats.org/officeDocument/2006/relationships/ctrlProp" Target="../ctrlProps/ctrlProp129.xml"/><Relationship Id="rId97" Type="http://schemas.openxmlformats.org/officeDocument/2006/relationships/ctrlProp" Target="../ctrlProps/ctrlProp150.xml"/><Relationship Id="rId104" Type="http://schemas.openxmlformats.org/officeDocument/2006/relationships/ctrlProp" Target="../ctrlProps/ctrlProp157.xml"/><Relationship Id="rId7" Type="http://schemas.openxmlformats.org/officeDocument/2006/relationships/ctrlProp" Target="../ctrlProps/ctrlProp60.xml"/><Relationship Id="rId71" Type="http://schemas.openxmlformats.org/officeDocument/2006/relationships/ctrlProp" Target="../ctrlProps/ctrlProp124.xml"/><Relationship Id="rId92" Type="http://schemas.openxmlformats.org/officeDocument/2006/relationships/ctrlProp" Target="../ctrlProps/ctrlProp145.xml"/><Relationship Id="rId2" Type="http://schemas.openxmlformats.org/officeDocument/2006/relationships/drawing" Target="../drawings/drawing4.xml"/><Relationship Id="rId29" Type="http://schemas.openxmlformats.org/officeDocument/2006/relationships/ctrlProp" Target="../ctrlProps/ctrlProp82.xml"/><Relationship Id="rId24" Type="http://schemas.openxmlformats.org/officeDocument/2006/relationships/ctrlProp" Target="../ctrlProps/ctrlProp77.xml"/><Relationship Id="rId40" Type="http://schemas.openxmlformats.org/officeDocument/2006/relationships/ctrlProp" Target="../ctrlProps/ctrlProp93.xml"/><Relationship Id="rId45" Type="http://schemas.openxmlformats.org/officeDocument/2006/relationships/ctrlProp" Target="../ctrlProps/ctrlProp98.xml"/><Relationship Id="rId66" Type="http://schemas.openxmlformats.org/officeDocument/2006/relationships/ctrlProp" Target="../ctrlProps/ctrlProp119.xml"/><Relationship Id="rId87" Type="http://schemas.openxmlformats.org/officeDocument/2006/relationships/ctrlProp" Target="../ctrlProps/ctrlProp140.xml"/><Relationship Id="rId61" Type="http://schemas.openxmlformats.org/officeDocument/2006/relationships/ctrlProp" Target="../ctrlProps/ctrlProp114.xml"/><Relationship Id="rId82" Type="http://schemas.openxmlformats.org/officeDocument/2006/relationships/ctrlProp" Target="../ctrlProps/ctrlProp135.xml"/><Relationship Id="rId19" Type="http://schemas.openxmlformats.org/officeDocument/2006/relationships/ctrlProp" Target="../ctrlProps/ctrlProp72.xml"/><Relationship Id="rId14" Type="http://schemas.openxmlformats.org/officeDocument/2006/relationships/ctrlProp" Target="../ctrlProps/ctrlProp67.xml"/><Relationship Id="rId30" Type="http://schemas.openxmlformats.org/officeDocument/2006/relationships/ctrlProp" Target="../ctrlProps/ctrlProp83.xml"/><Relationship Id="rId35" Type="http://schemas.openxmlformats.org/officeDocument/2006/relationships/ctrlProp" Target="../ctrlProps/ctrlProp88.xml"/><Relationship Id="rId56" Type="http://schemas.openxmlformats.org/officeDocument/2006/relationships/ctrlProp" Target="../ctrlProps/ctrlProp109.xml"/><Relationship Id="rId77" Type="http://schemas.openxmlformats.org/officeDocument/2006/relationships/ctrlProp" Target="../ctrlProps/ctrlProp130.xml"/><Relationship Id="rId100" Type="http://schemas.openxmlformats.org/officeDocument/2006/relationships/ctrlProp" Target="../ctrlProps/ctrlProp153.xml"/><Relationship Id="rId8" Type="http://schemas.openxmlformats.org/officeDocument/2006/relationships/ctrlProp" Target="../ctrlProps/ctrlProp61.xml"/><Relationship Id="rId51" Type="http://schemas.openxmlformats.org/officeDocument/2006/relationships/ctrlProp" Target="../ctrlProps/ctrlProp104.xml"/><Relationship Id="rId72" Type="http://schemas.openxmlformats.org/officeDocument/2006/relationships/ctrlProp" Target="../ctrlProps/ctrlProp125.xml"/><Relationship Id="rId93" Type="http://schemas.openxmlformats.org/officeDocument/2006/relationships/ctrlProp" Target="../ctrlProps/ctrlProp146.xml"/><Relationship Id="rId98" Type="http://schemas.openxmlformats.org/officeDocument/2006/relationships/ctrlProp" Target="../ctrlProps/ctrlProp151.xml"/><Relationship Id="rId3"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vmlDrawing" Target="../drawings/vmlDrawing5.vml"/><Relationship Id="rId7" Type="http://schemas.openxmlformats.org/officeDocument/2006/relationships/ctrlProp" Target="../ctrlProps/ctrlProp16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0" Type="http://schemas.openxmlformats.org/officeDocument/2006/relationships/ctrlProp" Target="../ctrlProps/ctrlProp163.xml"/><Relationship Id="rId4" Type="http://schemas.openxmlformats.org/officeDocument/2006/relationships/vmlDrawing" Target="../drawings/vmlDrawing6.vml"/><Relationship Id="rId9" Type="http://schemas.openxmlformats.org/officeDocument/2006/relationships/ctrlProp" Target="../ctrlProps/ctrlProp162.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16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1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6.bin"/><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B3CE9-9B0F-48DA-8B3D-A1409109ACC7}">
  <sheetPr codeName="Sheet1"/>
  <dimension ref="A1:G27"/>
  <sheetViews>
    <sheetView workbookViewId="0">
      <selection activeCell="K13" sqref="K13:M13"/>
    </sheetView>
  </sheetViews>
  <sheetFormatPr defaultRowHeight="13.2"/>
  <cols>
    <col min="1" max="1" width="33.88671875" bestFit="1" customWidth="1"/>
    <col min="2" max="2" width="54" bestFit="1" customWidth="1"/>
    <col min="4" max="4" width="0" hidden="1" customWidth="1"/>
  </cols>
  <sheetData>
    <row r="1" spans="1:7" ht="23.4">
      <c r="A1" s="84" t="s">
        <v>1319</v>
      </c>
      <c r="B1" s="84" t="s">
        <v>1320</v>
      </c>
    </row>
    <row r="2" spans="1:7" ht="23.4">
      <c r="A2" s="85" t="s">
        <v>1321</v>
      </c>
      <c r="B2" s="85" t="s">
        <v>1322</v>
      </c>
    </row>
    <row r="3" spans="1:7" ht="23.4">
      <c r="A3" s="85" t="s">
        <v>1323</v>
      </c>
      <c r="B3" s="124">
        <v>1</v>
      </c>
    </row>
    <row r="4" spans="1:7" ht="23.4">
      <c r="A4" s="85" t="s">
        <v>1324</v>
      </c>
      <c r="B4" s="85" t="s">
        <v>1344</v>
      </c>
    </row>
    <row r="5" spans="1:7" ht="23.4">
      <c r="A5" s="85" t="s">
        <v>780</v>
      </c>
      <c r="B5" s="85" t="str" cm="1">
        <f t="array" ref="B5">demographics[career_stage]</f>
        <v>BtP</v>
      </c>
    </row>
    <row r="6" spans="1:7" ht="23.4">
      <c r="A6" s="85" t="s">
        <v>1325</v>
      </c>
      <c r="B6" s="124">
        <v>1</v>
      </c>
    </row>
    <row r="7" spans="1:7" ht="23.4">
      <c r="A7" s="85" t="s">
        <v>1326</v>
      </c>
      <c r="B7" s="86" t="b">
        <v>0</v>
      </c>
    </row>
    <row r="8" spans="1:7" ht="23.4">
      <c r="A8" s="85" t="s">
        <v>1327</v>
      </c>
      <c r="B8" s="86" t="b">
        <v>0</v>
      </c>
    </row>
    <row r="9" spans="1:7" ht="23.4">
      <c r="A9" s="85" t="s">
        <v>1328</v>
      </c>
      <c r="B9" s="86" t="b">
        <v>0</v>
      </c>
    </row>
    <row r="10" spans="1:7" ht="23.4">
      <c r="A10" s="85" t="s">
        <v>1329</v>
      </c>
      <c r="B10" s="86" t="b">
        <v>1</v>
      </c>
    </row>
    <row r="11" spans="1:7" ht="23.4">
      <c r="A11" s="85" t="s">
        <v>1330</v>
      </c>
      <c r="B11" s="86" t="b">
        <f>IF(D11=1,TRUE,FALSE)</f>
        <v>1</v>
      </c>
      <c r="D11">
        <f>Status!I17</f>
        <v>1</v>
      </c>
    </row>
    <row r="12" spans="1:7" ht="23.4">
      <c r="A12" s="85" t="s">
        <v>1331</v>
      </c>
      <c r="B12" s="86" t="b">
        <f t="shared" ref="B12:B14" si="0">IF(D12=1,TRUE,FALSE)</f>
        <v>1</v>
      </c>
      <c r="D12">
        <f>Status!I17</f>
        <v>1</v>
      </c>
    </row>
    <row r="13" spans="1:7" ht="23.4">
      <c r="A13" s="85" t="s">
        <v>1332</v>
      </c>
      <c r="B13" s="86" t="b">
        <f t="shared" si="0"/>
        <v>1</v>
      </c>
      <c r="D13">
        <f>Status!I18</f>
        <v>1</v>
      </c>
    </row>
    <row r="14" spans="1:7" ht="23.4">
      <c r="A14" s="85" t="s">
        <v>1333</v>
      </c>
      <c r="B14" s="86" t="b">
        <f t="shared" si="0"/>
        <v>1</v>
      </c>
      <c r="D14">
        <f>Status!I20</f>
        <v>1</v>
      </c>
    </row>
    <row r="15" spans="1:7" ht="23.4">
      <c r="A15" s="85" t="s">
        <v>1334</v>
      </c>
      <c r="B15" s="85" t="b">
        <f>IF(D15="Complete",TRUE,FALSE)</f>
        <v>1</v>
      </c>
      <c r="D15" s="132" t="str">
        <f>'Encoding Part 1'!F29</f>
        <v>Complete</v>
      </c>
      <c r="G15" s="127"/>
    </row>
    <row r="16" spans="1:7" ht="23.4" hidden="1">
      <c r="A16" s="85" t="s">
        <v>1627</v>
      </c>
      <c r="B16" s="85"/>
      <c r="D16" s="132"/>
      <c r="G16" s="127"/>
    </row>
    <row r="17" spans="1:7" ht="23.4" hidden="1">
      <c r="A17" s="85" t="s">
        <v>1628</v>
      </c>
      <c r="B17" s="85"/>
      <c r="D17" s="132"/>
      <c r="G17" s="127"/>
    </row>
    <row r="18" spans="1:7" ht="23.4" hidden="1">
      <c r="A18" s="85" t="s">
        <v>1629</v>
      </c>
      <c r="B18" s="85"/>
      <c r="D18" s="132"/>
      <c r="G18" s="127"/>
    </row>
    <row r="19" spans="1:7" ht="23.4">
      <c r="A19" s="85" t="s">
        <v>1335</v>
      </c>
      <c r="B19" s="87" t="s">
        <v>1666</v>
      </c>
    </row>
    <row r="20" spans="1:7" ht="23.4">
      <c r="A20" s="85" t="s">
        <v>1336</v>
      </c>
      <c r="B20" s="87" t="s">
        <v>1666</v>
      </c>
    </row>
    <row r="21" spans="1:7" ht="23.4">
      <c r="A21" s="85" t="s">
        <v>1337</v>
      </c>
      <c r="B21" s="124" t="str" cm="1">
        <f t="array" ref="B21">demographics[uniquepersonnelid]</f>
        <v>REG7-11-303172-6099109</v>
      </c>
    </row>
    <row r="22" spans="1:7" ht="23.4">
      <c r="A22" s="85" t="s">
        <v>1338</v>
      </c>
      <c r="B22" s="124" t="str">
        <f>'Encoding Part 1'!C7</f>
        <v>EJONIE G. DEGOLLACION</v>
      </c>
    </row>
    <row r="23" spans="1:7" ht="23.4">
      <c r="A23" s="85" t="s">
        <v>1339</v>
      </c>
      <c r="B23" s="124" t="str" cm="1">
        <f t="array" ref="B23">demographics[region_name]</f>
        <v>VII - Central Visayas</v>
      </c>
    </row>
    <row r="24" spans="1:7" ht="23.4">
      <c r="A24" s="85" t="s">
        <v>1340</v>
      </c>
      <c r="B24" s="124" t="str" cm="1">
        <f t="array" ref="B24">demographics[division_name]</f>
        <v xml:space="preserve">Lapu-Lapu City </v>
      </c>
    </row>
    <row r="25" spans="1:7" ht="23.4">
      <c r="A25" s="85" t="s">
        <v>1341</v>
      </c>
      <c r="B25" s="124" t="str" cm="1">
        <f t="array" ref="B25">demographics[level_taught]</f>
        <v>Senior High School</v>
      </c>
    </row>
    <row r="26" spans="1:7" ht="23.4">
      <c r="A26" s="85" t="s">
        <v>1342</v>
      </c>
      <c r="B26" s="124" cm="1">
        <f t="array" ref="B26">demographics[school_id]</f>
        <v>303172</v>
      </c>
    </row>
    <row r="27" spans="1:7" ht="23.4">
      <c r="A27" s="85" t="s">
        <v>1343</v>
      </c>
      <c r="B27" s="128" t="str" cm="1">
        <f t="array" ref="B27">demographics[school_name2]</f>
        <v>BABAG NATIONAL HIGH SCHOOL- SHS</v>
      </c>
    </row>
  </sheetData>
  <sheetProtection algorithmName="SHA-512" hashValue="bgEHb8buIpVE3dFSaJmDVv6Xy+gu9EHT68kIl0LwAVU7yCtuAQ7SazFHJcOodneEMu5O34QPoV44qJeGsyuljA==" saltValue="rQhK1/ibaVpKKJ2vr3QhDg==" spinCount="100000" sheet="1" objects="1" scenario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7EC71-C454-4325-88D3-046E89387FD7}">
  <sheetPr codeName="Sheet2"/>
  <dimension ref="A1:BQ4"/>
  <sheetViews>
    <sheetView workbookViewId="0">
      <selection activeCell="K13" sqref="K13:M13"/>
    </sheetView>
  </sheetViews>
  <sheetFormatPr defaultRowHeight="13.2"/>
  <cols>
    <col min="1" max="1" width="23.21875" customWidth="1"/>
    <col min="2" max="2" width="14.6640625" bestFit="1" customWidth="1"/>
    <col min="3" max="3" width="10.21875" bestFit="1" customWidth="1"/>
    <col min="4" max="4" width="10.21875" customWidth="1"/>
    <col min="5" max="5" width="11.21875" bestFit="1" customWidth="1"/>
    <col min="6" max="6" width="11.21875" customWidth="1"/>
    <col min="7" max="7" width="11.109375" bestFit="1" customWidth="1"/>
    <col min="8" max="10" width="11.109375" customWidth="1"/>
    <col min="11" max="11" width="12.77734375" customWidth="1"/>
    <col min="12" max="12" width="11.109375" customWidth="1"/>
    <col min="13" max="13" width="10.88671875" bestFit="1" customWidth="1"/>
    <col min="14" max="14" width="11.44140625" bestFit="1" customWidth="1"/>
    <col min="15" max="15" width="13.44140625" bestFit="1" customWidth="1"/>
    <col min="16" max="16" width="7.88671875" bestFit="1" customWidth="1"/>
    <col min="17" max="17" width="9.88671875" bestFit="1" customWidth="1"/>
    <col min="18" max="18" width="14.44140625" bestFit="1" customWidth="1"/>
    <col min="19" max="19" width="9.88671875" bestFit="1" customWidth="1"/>
    <col min="20" max="20" width="13.77734375" bestFit="1" customWidth="1"/>
    <col min="21" max="21" width="19.77734375" bestFit="1" customWidth="1"/>
    <col min="22" max="22" width="6.44140625" bestFit="1" customWidth="1"/>
    <col min="23" max="23" width="6.21875" bestFit="1" customWidth="1"/>
    <col min="24" max="24" width="18.6640625" bestFit="1" customWidth="1"/>
    <col min="25" max="25" width="16.33203125" bestFit="1" customWidth="1"/>
    <col min="26" max="26" width="8.44140625" bestFit="1" customWidth="1"/>
    <col min="27" max="27" width="18.6640625" bestFit="1" customWidth="1"/>
    <col min="28" max="28" width="16.6640625" bestFit="1" customWidth="1"/>
    <col min="29" max="29" width="16.6640625" customWidth="1"/>
    <col min="30" max="30" width="18.6640625" customWidth="1"/>
    <col min="31" max="31" width="20.5546875" bestFit="1" customWidth="1"/>
    <col min="32" max="32" width="18.21875" bestFit="1" customWidth="1"/>
    <col min="33" max="41" width="18.21875" customWidth="1"/>
    <col min="42" max="46" width="14.44140625" customWidth="1"/>
    <col min="47" max="47" width="15.33203125" customWidth="1"/>
    <col min="48" max="55" width="14.44140625" customWidth="1"/>
    <col min="56" max="56" width="16.33203125" bestFit="1" customWidth="1"/>
    <col min="57" max="57" width="16.77734375" bestFit="1" customWidth="1"/>
    <col min="58" max="58" width="18.77734375" bestFit="1" customWidth="1"/>
    <col min="59" max="59" width="15.21875" bestFit="1" customWidth="1"/>
    <col min="60" max="60" width="20.109375" customWidth="1"/>
    <col min="61" max="61" width="29.33203125" bestFit="1" customWidth="1"/>
    <col min="62" max="62" width="29.77734375" bestFit="1" customWidth="1"/>
    <col min="63" max="63" width="31.88671875" bestFit="1" customWidth="1"/>
    <col min="64" max="64" width="28.33203125" bestFit="1" customWidth="1"/>
    <col min="65" max="65" width="26.21875" bestFit="1" customWidth="1"/>
    <col min="66" max="66" width="16.5546875" bestFit="1" customWidth="1"/>
    <col min="67" max="69" width="21.21875" bestFit="1" customWidth="1"/>
  </cols>
  <sheetData>
    <row r="1" spans="1:69">
      <c r="A1" t="s">
        <v>1337</v>
      </c>
      <c r="B1" t="s">
        <v>1324</v>
      </c>
      <c r="C1" t="s">
        <v>1345</v>
      </c>
      <c r="D1" t="s">
        <v>1347</v>
      </c>
      <c r="E1" t="s">
        <v>1346</v>
      </c>
      <c r="F1" t="s">
        <v>1348</v>
      </c>
      <c r="G1" t="s">
        <v>1342</v>
      </c>
      <c r="H1" s="122" t="s">
        <v>1511</v>
      </c>
      <c r="I1" t="s">
        <v>1349</v>
      </c>
      <c r="J1" t="s">
        <v>1350</v>
      </c>
      <c r="K1" t="s">
        <v>1351</v>
      </c>
      <c r="L1" t="s">
        <v>1510</v>
      </c>
      <c r="M1" t="s">
        <v>1352</v>
      </c>
      <c r="N1" t="s">
        <v>1353</v>
      </c>
      <c r="O1" t="s">
        <v>1354</v>
      </c>
      <c r="P1" t="s">
        <v>1355</v>
      </c>
      <c r="Q1" t="s">
        <v>1356</v>
      </c>
      <c r="R1" t="s">
        <v>780</v>
      </c>
      <c r="S1" t="s">
        <v>771</v>
      </c>
      <c r="T1" t="s">
        <v>1341</v>
      </c>
      <c r="U1" t="s">
        <v>1357</v>
      </c>
      <c r="V1" t="s">
        <v>772</v>
      </c>
      <c r="W1" t="s">
        <v>1358</v>
      </c>
      <c r="X1" t="s">
        <v>952</v>
      </c>
      <c r="Y1" t="s">
        <v>1359</v>
      </c>
      <c r="Z1" s="122" t="s">
        <v>1509</v>
      </c>
      <c r="AA1" t="s">
        <v>1360</v>
      </c>
      <c r="AB1" t="s">
        <v>1361</v>
      </c>
      <c r="AC1" s="122" t="s">
        <v>1499</v>
      </c>
      <c r="AD1" s="122" t="s">
        <v>1364</v>
      </c>
      <c r="AE1" s="122" t="s">
        <v>1362</v>
      </c>
      <c r="AF1" s="122" t="s">
        <v>1363</v>
      </c>
      <c r="AG1" s="122" t="s">
        <v>1365</v>
      </c>
      <c r="AH1" s="122" t="s">
        <v>1500</v>
      </c>
      <c r="AI1" s="122" t="s">
        <v>1501</v>
      </c>
      <c r="AJ1" s="122" t="s">
        <v>1502</v>
      </c>
      <c r="AK1" s="122" t="s">
        <v>1503</v>
      </c>
      <c r="AL1" s="122" t="s">
        <v>1504</v>
      </c>
      <c r="AM1" s="122" t="s">
        <v>1505</v>
      </c>
      <c r="AN1" s="122" t="s">
        <v>1507</v>
      </c>
      <c r="AO1" s="122" t="s">
        <v>1506</v>
      </c>
      <c r="AP1" s="122" t="s">
        <v>1577</v>
      </c>
      <c r="AQ1" s="122" t="s">
        <v>1578</v>
      </c>
      <c r="AR1" s="122" t="s">
        <v>1579</v>
      </c>
      <c r="AS1" s="122" t="s">
        <v>1580</v>
      </c>
      <c r="AT1" s="122" t="s">
        <v>1581</v>
      </c>
      <c r="AU1" s="122" t="s">
        <v>1582</v>
      </c>
      <c r="AV1" s="122" t="s">
        <v>1583</v>
      </c>
      <c r="AW1" s="122" t="s">
        <v>1584</v>
      </c>
      <c r="AX1" s="122" t="s">
        <v>1585</v>
      </c>
      <c r="AY1" s="122" t="s">
        <v>1586</v>
      </c>
      <c r="AZ1" s="122" t="s">
        <v>1587</v>
      </c>
      <c r="BA1" s="122" t="s">
        <v>1588</v>
      </c>
      <c r="BB1" s="122" t="s">
        <v>1589</v>
      </c>
      <c r="BC1" s="122" t="s">
        <v>1590</v>
      </c>
      <c r="BD1" t="s">
        <v>1366</v>
      </c>
      <c r="BE1" t="s">
        <v>1367</v>
      </c>
      <c r="BF1" t="s">
        <v>1368</v>
      </c>
      <c r="BG1" t="s">
        <v>1369</v>
      </c>
      <c r="BH1" t="s">
        <v>1370</v>
      </c>
      <c r="BI1" t="s">
        <v>1371</v>
      </c>
      <c r="BJ1" t="s">
        <v>1372</v>
      </c>
      <c r="BK1" t="s">
        <v>1373</v>
      </c>
      <c r="BL1" t="s">
        <v>1374</v>
      </c>
      <c r="BM1" t="s">
        <v>1375</v>
      </c>
      <c r="BN1" t="s">
        <v>1376</v>
      </c>
      <c r="BO1" t="s">
        <v>1377</v>
      </c>
      <c r="BP1" t="s">
        <v>1378</v>
      </c>
      <c r="BQ1" t="s">
        <v>1379</v>
      </c>
    </row>
    <row r="2" spans="1:69">
      <c r="A2" t="str">
        <f>demographics[[#This Row],[divisionid]]&amp;"-"&amp;demographics[[#This Row],[school_id]]&amp;"-"&amp;demographics[[#This Row],[teacherid2]]</f>
        <v>REG7-11-303172-6099109</v>
      </c>
      <c r="B2" t="str">
        <f>"SY"&amp;" "&amp;HOME!E15</f>
        <v>SY 2025-2026</v>
      </c>
      <c r="C2" t="str">
        <f>VLOOKUP('Demographic Profile'!F7,regionid,2,0)</f>
        <v>REG7</v>
      </c>
      <c r="D2" t="str">
        <f>'Demographic Profile'!F7</f>
        <v>VII - Central Visayas</v>
      </c>
      <c r="E2" t="str">
        <f>VLOOKUP('Demographic Profile'!F8,divisionid,2,0)</f>
        <v>REG7-11</v>
      </c>
      <c r="F2" t="str">
        <f>'Demographic Profile'!F8</f>
        <v xml:space="preserve">Lapu-Lapu City </v>
      </c>
      <c r="G2">
        <f>'Demographic Profile'!F9</f>
        <v>303172</v>
      </c>
      <c r="H2" s="122" t="str">
        <f>school_name</f>
        <v>BABAG NATIONAL HIGH SCHOOL- SHS</v>
      </c>
      <c r="I2" t="str">
        <f>'Demographic Profile'!F11</f>
        <v>Urban</v>
      </c>
      <c r="J2" t="str">
        <f>'Demographic Profile'!F12</f>
        <v>Very Large</v>
      </c>
      <c r="K2" t="str">
        <f>'Demographic Profile'!F13</f>
        <v>Grade 7-10; Grade 11-12</v>
      </c>
      <c r="L2">
        <f>'Demographic Profile'!N10</f>
        <v>6099109</v>
      </c>
      <c r="M2" t="str">
        <f>'Demographic Profile'!demographics_lastname</f>
        <v>DEGOLLACION</v>
      </c>
      <c r="N2" t="str">
        <f>'Demographic Profile'!demographics_firstname</f>
        <v>EJONIE</v>
      </c>
      <c r="O2" t="str">
        <f>'Demographic Profile'!demographics_middlename</f>
        <v>GUNOBGUNOB</v>
      </c>
      <c r="P2" t="str">
        <f>'Demographic Profile'!demographics_email</f>
        <v>ejonie.degollacion@deped.gov.ph</v>
      </c>
      <c r="Q2">
        <f>'Demographic Profile'!R12</f>
        <v>229255073</v>
      </c>
      <c r="R2" t="str">
        <f>VLOOKUP(selected_career_stage,competency_level_vlookup,2,0)</f>
        <v>BtP</v>
      </c>
      <c r="S2" t="str">
        <f>'Demographic Profile'!N11</f>
        <v>Teacher III</v>
      </c>
      <c r="T2" t="str">
        <f>'Demographic Profile'!demographics_level</f>
        <v>Senior High School</v>
      </c>
      <c r="U2" t="str">
        <f>'Demographic Profile'!demographics_empstatus</f>
        <v>Regular Permanent</v>
      </c>
      <c r="V2" t="str">
        <f>'Demographic Profile'!demographics_age</f>
        <v>41-45</v>
      </c>
      <c r="W2" t="str">
        <f>'Demographic Profile'!demographics_sex</f>
        <v>Male</v>
      </c>
      <c r="X2" s="121" t="str">
        <f>'Demographic Profile'!R7</f>
        <v>4-10 years</v>
      </c>
      <c r="Y2" t="str">
        <f>'Demographic Profile'!R8</f>
        <v>Master's Degree</v>
      </c>
      <c r="Z2" s="88">
        <f ca="1">'Encoding Part 1'!N28</f>
        <v>4.3540000000000001</v>
      </c>
      <c r="AA2" t="str">
        <f ca="1">'Encoding Part 1'!N29</f>
        <v>Very Satisfactory</v>
      </c>
      <c r="AB2">
        <f>'Part 2-A'!T11</f>
        <v>4.8</v>
      </c>
      <c r="AC2">
        <f>'Part 2-A'!T18</f>
        <v>4.4000000000000004</v>
      </c>
      <c r="AD2">
        <f>'Part 2-A'!T25</f>
        <v>4.4000000000000004</v>
      </c>
      <c r="AE2">
        <f>'Part 2-A'!T32</f>
        <v>4.2</v>
      </c>
      <c r="AF2">
        <f>'Part 2-A'!T39</f>
        <v>4.2</v>
      </c>
      <c r="AG2">
        <f>'Part 2-A'!T46</f>
        <v>4.2</v>
      </c>
      <c r="AH2">
        <f>'Part 2-A'!T53</f>
        <v>4.8</v>
      </c>
      <c r="AI2">
        <f>'Part 2-A'!N60</f>
        <v>4.4290000000000003</v>
      </c>
      <c r="AJ2" t="str">
        <f>'Part 2-A'!R60</f>
        <v>Very Satisfactory</v>
      </c>
      <c r="AK2" t="str">
        <f>'Part 2-B'!F8</f>
        <v/>
      </c>
      <c r="AL2" t="str">
        <f>'Part 2-B'!F13</f>
        <v/>
      </c>
      <c r="AM2" t="str">
        <f>'Part 2-B'!F18</f>
        <v/>
      </c>
      <c r="AN2" t="str">
        <f>'Part 2-B'!E25</f>
        <v/>
      </c>
      <c r="AO2" t="str">
        <f>'Part 2-B'!F25</f>
        <v/>
      </c>
      <c r="AP2" t="str">
        <f ca="1">'PART 4-IDP'!A7</f>
        <v>1.1.2</v>
      </c>
      <c r="AQ2" t="str">
        <f ca="1">'PART 4-IDP'!A8</f>
        <v>1.4.2</v>
      </c>
      <c r="AR2" t="str">
        <f ca="1">'PART 4-IDP'!A9</f>
        <v>1.5.2</v>
      </c>
      <c r="AS2" t="str">
        <f ca="1">'PART 4-IDP'!C7</f>
        <v>3.1.2</v>
      </c>
      <c r="AT2" t="str">
        <f ca="1">'PART 4-IDP'!C8</f>
        <v>5.1.2</v>
      </c>
      <c r="AU2" t="str">
        <f ca="1">'PART 4-IDP'!C9</f>
        <v>5.2.2</v>
      </c>
      <c r="AV2" t="str">
        <f>'PART 4-IDP'!A11</f>
        <v>Self-Management</v>
      </c>
      <c r="AW2" t="str">
        <f>'PART 4-IDP'!A12</f>
        <v>Gender Sensitivity</v>
      </c>
      <c r="AX2" t="str">
        <f>'PART 4-IDP'!A13</f>
        <v>Professionalism and Ethics</v>
      </c>
      <c r="AY2" t="str">
        <f>'PART 4-IDP'!C11</f>
        <v>Teamwork</v>
      </c>
      <c r="AZ2" t="str">
        <f>'PART 4-IDP'!C12</f>
        <v>Service Orientation</v>
      </c>
      <c r="BA2" t="str">
        <f>'PART 4-IDP'!C13</f>
        <v>Innovation</v>
      </c>
      <c r="BB2" t="str">
        <f>'PART 4-IDP'!A15</f>
        <v>Leading People</v>
      </c>
      <c r="BC2" t="str">
        <f>'PART 4-IDP'!C15</f>
        <v>Leading People</v>
      </c>
      <c r="BD2" s="123" t="str">
        <f>'Encoding Part 1'!H7</f>
        <v>SAREÑO</v>
      </c>
      <c r="BE2" t="str">
        <f>'Encoding Part 1'!M7</f>
        <v>GLORIFEL</v>
      </c>
      <c r="BF2" t="str">
        <f>'Encoding Part 1'!O7</f>
        <v>BERMEJO</v>
      </c>
      <c r="BG2" t="str">
        <f>'Encoding Part 1'!H8</f>
        <v>Master Teacher I</v>
      </c>
      <c r="BH2" t="str">
        <f>'Encoding Part 1'!M8</f>
        <v>glorifel.sare@deped.gov.ph</v>
      </c>
      <c r="BI2" t="str">
        <f>'Encoding Part 1'!G33</f>
        <v>BABATU-ON</v>
      </c>
      <c r="BJ2" t="str">
        <f>'Encoding Part 1'!L33</f>
        <v>NICKJON</v>
      </c>
      <c r="BK2" t="str">
        <f>'Encoding Part 1'!O33</f>
        <v>CAÑETE</v>
      </c>
      <c r="BL2" t="str">
        <f>'Encoding Part 1'!G34</f>
        <v>Assistant School Principal II</v>
      </c>
      <c r="BM2" t="str">
        <f>'Encoding Part 1'!L34</f>
        <v>nickjon.babatuon002@deped.gov.ph</v>
      </c>
      <c r="BN2" s="89">
        <f>'Encoding Part 1'!H9</f>
        <v>46112</v>
      </c>
      <c r="BO2" s="90">
        <v>46196</v>
      </c>
      <c r="BP2" s="90">
        <v>46196</v>
      </c>
      <c r="BQ2" s="91">
        <v>46196</v>
      </c>
    </row>
    <row r="4" spans="1:69">
      <c r="Z4" s="127"/>
    </row>
  </sheetData>
  <phoneticPr fontId="105" type="noConversion"/>
  <conditionalFormatting sqref="L2">
    <cfRule type="duplicateValues" dxfId="81"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582CD-5C30-4276-85C2-A98474C1EDE4}">
  <sheetPr codeName="Sheet3"/>
  <dimension ref="A1:L21"/>
  <sheetViews>
    <sheetView workbookViewId="0">
      <selection activeCell="K13" sqref="K13:M13"/>
    </sheetView>
  </sheetViews>
  <sheetFormatPr defaultRowHeight="13.2"/>
  <cols>
    <col min="1" max="1" width="18.44140625" bestFit="1" customWidth="1"/>
    <col min="2" max="2" width="13.44140625" style="92" bestFit="1" customWidth="1"/>
    <col min="3" max="3" width="12.6640625" style="92" bestFit="1" customWidth="1"/>
    <col min="4" max="4" width="15.44140625" style="92" bestFit="1" customWidth="1"/>
    <col min="5" max="10" width="9.77734375" style="92" customWidth="1"/>
    <col min="11" max="11" width="11.44140625" style="92" customWidth="1"/>
    <col min="12" max="12" width="16.33203125" style="92" bestFit="1" customWidth="1"/>
  </cols>
  <sheetData>
    <row r="1" spans="1:12" ht="14.4">
      <c r="A1" s="94" t="s">
        <v>1337</v>
      </c>
      <c r="B1" s="95" t="s">
        <v>1324</v>
      </c>
      <c r="C1" s="95" t="s">
        <v>780</v>
      </c>
      <c r="D1" s="95" t="s">
        <v>1508</v>
      </c>
      <c r="E1" s="95" t="s">
        <v>1381</v>
      </c>
      <c r="F1" s="95" t="s">
        <v>1385</v>
      </c>
      <c r="G1" s="95" t="s">
        <v>1386</v>
      </c>
      <c r="H1" s="95" t="s">
        <v>138</v>
      </c>
      <c r="I1" s="95" t="s">
        <v>139</v>
      </c>
      <c r="J1" s="95" t="s">
        <v>1380</v>
      </c>
      <c r="K1" s="98" t="s">
        <v>1382</v>
      </c>
      <c r="L1" s="99" t="s">
        <v>1383</v>
      </c>
    </row>
    <row r="2" spans="1:12">
      <c r="A2" t="str">
        <f>meta!B21</f>
        <v>REG7-11-303172-6099109</v>
      </c>
      <c r="B2" s="100" t="str">
        <f>HOME!$E$15</f>
        <v>2025-2026</v>
      </c>
      <c r="C2" s="96" t="str">
        <f>HOME!$E$17</f>
        <v>Beginning towards Proficient</v>
      </c>
      <c r="D2" s="92" t="str">
        <f>'Encoding Part 1'!B14</f>
        <v>1.1.2</v>
      </c>
      <c r="E2" s="125">
        <f>'Encoding Part 1'!D$14</f>
        <v>6.7857142859999997E-2</v>
      </c>
      <c r="F2" s="126">
        <f ca="1">'Encoding Part 1'!I14</f>
        <v>5</v>
      </c>
      <c r="G2" s="126">
        <f>'Encoding Part 1'!J14</f>
        <v>0</v>
      </c>
      <c r="H2" s="126">
        <f>'Encoding Part 1'!K14</f>
        <v>0</v>
      </c>
      <c r="I2" s="126">
        <f>'Encoding Part 1'!L14</f>
        <v>0</v>
      </c>
      <c r="J2" s="93">
        <f ca="1">'Encoding Part 1'!M14</f>
        <v>5</v>
      </c>
      <c r="K2" s="93">
        <f ca="1">'Encoding Part 1'!N14</f>
        <v>0.33928999999999998</v>
      </c>
      <c r="L2" s="92" t="str">
        <f ca="1">'Encoding Part 1'!O14</f>
        <v>Outstanding</v>
      </c>
    </row>
    <row r="3" spans="1:12">
      <c r="B3" s="100" t="str">
        <f>HOME!$E$15</f>
        <v>2025-2026</v>
      </c>
      <c r="C3" s="96" t="str">
        <f>HOME!$E$17</f>
        <v>Beginning towards Proficient</v>
      </c>
      <c r="D3" s="92" t="str">
        <f>'Encoding Part 1'!B15</f>
        <v>1.4.2</v>
      </c>
      <c r="E3" s="125">
        <f>'Encoding Part 1'!D$14</f>
        <v>6.7857142859999997E-2</v>
      </c>
      <c r="F3" s="97">
        <f ca="1">'Encoding Part 1'!I15</f>
        <v>5</v>
      </c>
      <c r="G3" s="97">
        <f>'Encoding Part 1'!J15</f>
        <v>0</v>
      </c>
      <c r="H3" s="97">
        <f>'Encoding Part 1'!K15</f>
        <v>0</v>
      </c>
      <c r="I3" s="97">
        <f>'Encoding Part 1'!L15</f>
        <v>0</v>
      </c>
      <c r="J3" s="93">
        <f ca="1">'Encoding Part 1'!M15</f>
        <v>5</v>
      </c>
      <c r="K3" s="93">
        <f ca="1">'Encoding Part 1'!N15</f>
        <v>0.33928999999999998</v>
      </c>
      <c r="L3" s="92" t="str">
        <f ca="1">'Encoding Part 1'!O15</f>
        <v>Outstanding</v>
      </c>
    </row>
    <row r="4" spans="1:12">
      <c r="B4" s="100" t="str">
        <f>HOME!$E$15</f>
        <v>2025-2026</v>
      </c>
      <c r="C4" s="96" t="str">
        <f>HOME!$E$17</f>
        <v>Beginning towards Proficient</v>
      </c>
      <c r="D4" s="92" t="str">
        <f>'Encoding Part 1'!B16</f>
        <v>1.5.2</v>
      </c>
      <c r="E4" s="125">
        <f>'Encoding Part 1'!D$14</f>
        <v>6.7857142859999997E-2</v>
      </c>
      <c r="F4" s="96">
        <f ca="1">'Encoding Part 1'!I16</f>
        <v>5</v>
      </c>
      <c r="G4" s="96">
        <f>'Encoding Part 1'!J16</f>
        <v>0</v>
      </c>
      <c r="H4" s="96">
        <f>'Encoding Part 1'!K16</f>
        <v>0</v>
      </c>
      <c r="I4" s="96">
        <f>'Encoding Part 1'!L16</f>
        <v>0</v>
      </c>
      <c r="J4" s="93">
        <f ca="1">'Encoding Part 1'!M16</f>
        <v>5</v>
      </c>
      <c r="K4" s="93">
        <f ca="1">'Encoding Part 1'!N16</f>
        <v>0.33928999999999998</v>
      </c>
      <c r="L4" s="92" t="str">
        <f ca="1">'Encoding Part 1'!O16</f>
        <v>Outstanding</v>
      </c>
    </row>
    <row r="5" spans="1:12">
      <c r="B5" s="100" t="str">
        <f>HOME!$E$15</f>
        <v>2025-2026</v>
      </c>
      <c r="C5" s="96" t="str">
        <f>HOME!$E$17</f>
        <v>Beginning towards Proficient</v>
      </c>
      <c r="D5" s="92" t="str">
        <f>'Encoding Part 1'!B17</f>
        <v>2.3.2</v>
      </c>
      <c r="E5" s="125">
        <f>'Encoding Part 1'!D$14</f>
        <v>6.7857142859999997E-2</v>
      </c>
      <c r="F5" s="97">
        <f ca="1">'Encoding Part 1'!I17</f>
        <v>5</v>
      </c>
      <c r="G5" s="97">
        <f>'Encoding Part 1'!J17</f>
        <v>0</v>
      </c>
      <c r="H5" s="97">
        <f>'Encoding Part 1'!K17</f>
        <v>0</v>
      </c>
      <c r="I5" s="97">
        <f>'Encoding Part 1'!L17</f>
        <v>0</v>
      </c>
      <c r="J5" s="93">
        <f ca="1">'Encoding Part 1'!M17</f>
        <v>5</v>
      </c>
      <c r="K5" s="93">
        <f ca="1">'Encoding Part 1'!N17</f>
        <v>0.33928999999999998</v>
      </c>
      <c r="L5" s="92" t="str">
        <f ca="1">'Encoding Part 1'!O17</f>
        <v>Outstanding</v>
      </c>
    </row>
    <row r="6" spans="1:12">
      <c r="B6" s="100" t="str">
        <f>HOME!$E$15</f>
        <v>2025-2026</v>
      </c>
      <c r="C6" s="96" t="str">
        <f>HOME!$E$17</f>
        <v>Beginning towards Proficient</v>
      </c>
      <c r="D6" s="92" t="str">
        <f>'Encoding Part 1'!B18</f>
        <v>2.6.2</v>
      </c>
      <c r="E6" s="125">
        <f>'Encoding Part 1'!D$14</f>
        <v>6.7857142859999997E-2</v>
      </c>
      <c r="F6" s="96">
        <f ca="1">'Encoding Part 1'!I18</f>
        <v>5</v>
      </c>
      <c r="G6" s="96">
        <f>'Encoding Part 1'!J18</f>
        <v>0</v>
      </c>
      <c r="H6" s="96">
        <f>'Encoding Part 1'!K18</f>
        <v>0</v>
      </c>
      <c r="I6" s="96">
        <f>'Encoding Part 1'!L18</f>
        <v>0</v>
      </c>
      <c r="J6" s="93">
        <f ca="1">'Encoding Part 1'!M18</f>
        <v>5</v>
      </c>
      <c r="K6" s="93">
        <f ca="1">'Encoding Part 1'!N18</f>
        <v>0.33928999999999998</v>
      </c>
      <c r="L6" s="92" t="str">
        <f ca="1">'Encoding Part 1'!O18</f>
        <v>Outstanding</v>
      </c>
    </row>
    <row r="7" spans="1:12">
      <c r="B7" s="100" t="str">
        <f>HOME!$E$15</f>
        <v>2025-2026</v>
      </c>
      <c r="C7" s="96" t="str">
        <f>HOME!$E$17</f>
        <v>Beginning towards Proficient</v>
      </c>
      <c r="D7" s="92" t="str">
        <f>'Encoding Part 1'!B19</f>
        <v>3.1.2</v>
      </c>
      <c r="E7" s="125">
        <f>'Encoding Part 1'!D$14</f>
        <v>6.7857142859999997E-2</v>
      </c>
      <c r="F7" s="97">
        <f ca="1">'Encoding Part 1'!I19</f>
        <v>4</v>
      </c>
      <c r="G7" s="97">
        <f>'Encoding Part 1'!J19</f>
        <v>0</v>
      </c>
      <c r="H7" s="97">
        <f>'Encoding Part 1'!K19</f>
        <v>0</v>
      </c>
      <c r="I7" s="97">
        <f>'Encoding Part 1'!L19</f>
        <v>0</v>
      </c>
      <c r="J7" s="93">
        <f ca="1">'Encoding Part 1'!M19</f>
        <v>4</v>
      </c>
      <c r="K7" s="93">
        <f ca="1">'Encoding Part 1'!N19</f>
        <v>0.27143</v>
      </c>
      <c r="L7" s="92" t="str">
        <f ca="1">'Encoding Part 1'!O19</f>
        <v>Very Satisfactory</v>
      </c>
    </row>
    <row r="8" spans="1:12">
      <c r="B8" s="100" t="str">
        <f>HOME!$E$15</f>
        <v>2025-2026</v>
      </c>
      <c r="C8" s="96" t="str">
        <f>HOME!$E$17</f>
        <v>Beginning towards Proficient</v>
      </c>
      <c r="D8" s="92" t="str">
        <f>'Encoding Part 1'!B20</f>
        <v>4.1.2</v>
      </c>
      <c r="E8" s="125">
        <f>'Encoding Part 1'!D$14</f>
        <v>6.7857142859999997E-2</v>
      </c>
      <c r="F8" s="96">
        <f ca="1">'Encoding Part 1'!I20</f>
        <v>5</v>
      </c>
      <c r="G8" s="96">
        <f>'Encoding Part 1'!J20</f>
        <v>0</v>
      </c>
      <c r="H8" s="96">
        <f>'Encoding Part 1'!K20</f>
        <v>0</v>
      </c>
      <c r="I8" s="96">
        <f>'Encoding Part 1'!L20</f>
        <v>0</v>
      </c>
      <c r="J8" s="93">
        <f ca="1">'Encoding Part 1'!M20</f>
        <v>5</v>
      </c>
      <c r="K8" s="93">
        <f ca="1">'Encoding Part 1'!N20</f>
        <v>0.33928999999999998</v>
      </c>
      <c r="L8" s="92" t="str">
        <f ca="1">'Encoding Part 1'!O20</f>
        <v>Outstanding</v>
      </c>
    </row>
    <row r="9" spans="1:12">
      <c r="B9" s="100" t="str">
        <f>HOME!$E$15</f>
        <v>2025-2026</v>
      </c>
      <c r="C9" s="96" t="str">
        <f>HOME!$E$17</f>
        <v>Beginning towards Proficient</v>
      </c>
      <c r="D9" s="92" t="str">
        <f>'Encoding Part 1'!B21</f>
        <v>4.4.2</v>
      </c>
      <c r="E9" s="125">
        <f>'Encoding Part 1'!D$14</f>
        <v>6.7857142859999997E-2</v>
      </c>
      <c r="F9" s="97">
        <f>'Encoding Part 1'!I21</f>
        <v>5</v>
      </c>
      <c r="G9" s="97">
        <f>'Encoding Part 1'!J21</f>
        <v>0</v>
      </c>
      <c r="H9" s="97">
        <f>'Encoding Part 1'!K21</f>
        <v>0</v>
      </c>
      <c r="I9" s="97">
        <f>'Encoding Part 1'!L21</f>
        <v>4</v>
      </c>
      <c r="J9" s="93">
        <f>'Encoding Part 1'!M21</f>
        <v>4.5</v>
      </c>
      <c r="K9" s="93">
        <f>'Encoding Part 1'!N21</f>
        <v>0.30536000000000002</v>
      </c>
      <c r="L9" s="92" t="str">
        <f>'Encoding Part 1'!O21</f>
        <v>Outstanding</v>
      </c>
    </row>
    <row r="10" spans="1:12">
      <c r="B10" s="100" t="str">
        <f>HOME!$E$15</f>
        <v>2025-2026</v>
      </c>
      <c r="C10" s="96" t="str">
        <f>HOME!$E$17</f>
        <v>Beginning towards Proficient</v>
      </c>
      <c r="D10" s="92" t="str">
        <f>'Encoding Part 1'!B22</f>
        <v>4.5.2</v>
      </c>
      <c r="E10" s="125">
        <f>'Encoding Part 1'!D$14</f>
        <v>6.7857142859999997E-2</v>
      </c>
      <c r="F10" s="96">
        <f ca="1">'Encoding Part 1'!I22</f>
        <v>5</v>
      </c>
      <c r="G10" s="96">
        <f>'Encoding Part 1'!J22</f>
        <v>0</v>
      </c>
      <c r="H10" s="96">
        <f>'Encoding Part 1'!K22</f>
        <v>0</v>
      </c>
      <c r="I10" s="96">
        <f>'Encoding Part 1'!L22</f>
        <v>0</v>
      </c>
      <c r="J10" s="93">
        <f ca="1">'Encoding Part 1'!M22</f>
        <v>5</v>
      </c>
      <c r="K10" s="93">
        <f ca="1">'Encoding Part 1'!N22</f>
        <v>0.33928999999999998</v>
      </c>
      <c r="L10" s="92" t="str">
        <f ca="1">'Encoding Part 1'!O22</f>
        <v>Outstanding</v>
      </c>
    </row>
    <row r="11" spans="1:12">
      <c r="B11" s="100" t="str">
        <f>HOME!$E$15</f>
        <v>2025-2026</v>
      </c>
      <c r="C11" s="96" t="str">
        <f>HOME!$E$17</f>
        <v>Beginning towards Proficient</v>
      </c>
      <c r="D11" s="92" t="str">
        <f>'Encoding Part 1'!B23</f>
        <v>5.1.2</v>
      </c>
      <c r="E11" s="125">
        <f>'Encoding Part 1'!D$14</f>
        <v>6.7857142859999997E-2</v>
      </c>
      <c r="F11" s="97">
        <f ca="1">'Encoding Part 1'!I23</f>
        <v>4</v>
      </c>
      <c r="G11" s="97">
        <f>'Encoding Part 1'!J23</f>
        <v>0</v>
      </c>
      <c r="H11" s="97">
        <f>'Encoding Part 1'!K23</f>
        <v>0</v>
      </c>
      <c r="I11" s="97">
        <f>'Encoding Part 1'!L23</f>
        <v>0</v>
      </c>
      <c r="J11" s="93">
        <f ca="1">'Encoding Part 1'!M23</f>
        <v>4</v>
      </c>
      <c r="K11" s="93">
        <f ca="1">'Encoding Part 1'!N23</f>
        <v>0.27143</v>
      </c>
      <c r="L11" s="92" t="str">
        <f ca="1">'Encoding Part 1'!O23</f>
        <v>Very Satisfactory</v>
      </c>
    </row>
    <row r="12" spans="1:12">
      <c r="B12" s="100" t="str">
        <f>HOME!$E$15</f>
        <v>2025-2026</v>
      </c>
      <c r="C12" s="96" t="str">
        <f>HOME!$E$17</f>
        <v>Beginning towards Proficient</v>
      </c>
      <c r="D12" s="92" t="str">
        <f>'Encoding Part 1'!B24</f>
        <v>5.2.2</v>
      </c>
      <c r="E12" s="125">
        <f>'Encoding Part 1'!D$14</f>
        <v>6.7857142859999997E-2</v>
      </c>
      <c r="F12" s="96">
        <f>'Encoding Part 1'!I24</f>
        <v>4</v>
      </c>
      <c r="G12" s="96">
        <f>'Encoding Part 1'!J24</f>
        <v>0</v>
      </c>
      <c r="H12" s="96">
        <f>'Encoding Part 1'!K24</f>
        <v>0</v>
      </c>
      <c r="I12" s="96">
        <f>'Encoding Part 1'!L24</f>
        <v>0</v>
      </c>
      <c r="J12" s="93">
        <f>'Encoding Part 1'!M24</f>
        <v>4</v>
      </c>
      <c r="K12" s="93">
        <f>'Encoding Part 1'!N24</f>
        <v>0.27143</v>
      </c>
      <c r="L12" s="92" t="str">
        <f>'Encoding Part 1'!O24</f>
        <v>Very Satisfactory</v>
      </c>
    </row>
    <row r="13" spans="1:12">
      <c r="B13" s="100" t="str">
        <f>HOME!$E$15</f>
        <v>2025-2026</v>
      </c>
      <c r="C13" s="96" t="str">
        <f>HOME!$E$17</f>
        <v>Beginning towards Proficient</v>
      </c>
      <c r="D13" s="92" t="str">
        <f>'Encoding Part 1'!B25</f>
        <v>5.4.2</v>
      </c>
      <c r="E13" s="125">
        <f>'Encoding Part 1'!D$14</f>
        <v>6.7857142859999997E-2</v>
      </c>
      <c r="F13" s="97">
        <f>'Encoding Part 1'!I25</f>
        <v>5</v>
      </c>
      <c r="G13" s="97">
        <f>'Encoding Part 1'!J25</f>
        <v>0</v>
      </c>
      <c r="H13" s="97">
        <f>'Encoding Part 1'!K25</f>
        <v>4</v>
      </c>
      <c r="I13" s="97">
        <f>'Encoding Part 1'!L25</f>
        <v>4</v>
      </c>
      <c r="J13" s="93">
        <f>'Encoding Part 1'!M25</f>
        <v>4.3333000000000004</v>
      </c>
      <c r="K13" s="93">
        <f>'Encoding Part 1'!N25</f>
        <v>0.29404999999999998</v>
      </c>
      <c r="L13" s="92" t="str">
        <f>'Encoding Part 1'!O25</f>
        <v>Very Satisfactory</v>
      </c>
    </row>
    <row r="14" spans="1:12">
      <c r="B14" s="100" t="str">
        <f>HOME!$E$15</f>
        <v>2025-2026</v>
      </c>
      <c r="C14" s="96" t="str">
        <f>HOME!$E$17</f>
        <v>Beginning towards Proficient</v>
      </c>
      <c r="D14" s="92" t="str">
        <f>'Encoding Part 1'!B26</f>
        <v>7.1.2</v>
      </c>
      <c r="E14" s="125">
        <f>'Encoding Part 1'!D$14</f>
        <v>6.7857142859999997E-2</v>
      </c>
      <c r="F14" s="96">
        <f>'Encoding Part 1'!I26</f>
        <v>4</v>
      </c>
      <c r="G14" s="96">
        <f>'Encoding Part 1'!J26</f>
        <v>0</v>
      </c>
      <c r="H14" s="96">
        <f>'Encoding Part 1'!K26</f>
        <v>0</v>
      </c>
      <c r="I14" s="96">
        <f>'Encoding Part 1'!L26</f>
        <v>0</v>
      </c>
      <c r="J14" s="93">
        <f>'Encoding Part 1'!M26</f>
        <v>4</v>
      </c>
      <c r="K14" s="93">
        <f>'Encoding Part 1'!N26</f>
        <v>0.27143</v>
      </c>
      <c r="L14" s="92" t="str">
        <f>'Encoding Part 1'!O26</f>
        <v>Very Satisfactory</v>
      </c>
    </row>
    <row r="15" spans="1:12">
      <c r="B15" s="100" t="str">
        <f>HOME!$E$15</f>
        <v>2025-2026</v>
      </c>
      <c r="C15" s="96" t="str">
        <f>HOME!$E$17</f>
        <v>Beginning towards Proficient</v>
      </c>
      <c r="D15" s="92" t="str">
        <f>'Encoding Part 1'!B27</f>
        <v>7.5.2</v>
      </c>
      <c r="E15" s="125">
        <f>'Encoding Part 1'!D$14</f>
        <v>6.7857142859999997E-2</v>
      </c>
      <c r="F15" s="97">
        <f>'Encoding Part 1'!I27</f>
        <v>5</v>
      </c>
      <c r="G15" s="97">
        <f>'Encoding Part 1'!J27</f>
        <v>0</v>
      </c>
      <c r="H15" s="97">
        <f>'Encoding Part 1'!K27</f>
        <v>4</v>
      </c>
      <c r="I15" s="97">
        <f>'Encoding Part 1'!L27</f>
        <v>4</v>
      </c>
      <c r="J15" s="93">
        <f>'Encoding Part 1'!M27</f>
        <v>4.3333000000000004</v>
      </c>
      <c r="K15" s="93">
        <f>'Encoding Part 1'!N27</f>
        <v>0.29404999999999998</v>
      </c>
      <c r="L15" s="92" t="str">
        <f>'Encoding Part 1'!O27</f>
        <v>Very Satisfactory</v>
      </c>
    </row>
    <row r="17" spans="1:12">
      <c r="A17" s="132" t="s">
        <v>1591</v>
      </c>
      <c r="L17"/>
    </row>
    <row r="18" spans="1:12" ht="14.4">
      <c r="A18" s="94" t="s">
        <v>1337</v>
      </c>
      <c r="B18" s="95" t="s">
        <v>1324</v>
      </c>
      <c r="C18" s="95" t="s">
        <v>780</v>
      </c>
      <c r="D18" s="95" t="s">
        <v>1508</v>
      </c>
      <c r="E18" s="95" t="s">
        <v>1385</v>
      </c>
      <c r="F18" s="95" t="s">
        <v>138</v>
      </c>
      <c r="G18" s="95" t="s">
        <v>139</v>
      </c>
      <c r="H18" s="95" t="s">
        <v>1380</v>
      </c>
      <c r="I18" s="142" t="s">
        <v>1383</v>
      </c>
      <c r="J18" s="142"/>
      <c r="K18"/>
      <c r="L18"/>
    </row>
    <row r="19" spans="1:12">
      <c r="A19" t="str">
        <f>meta!B21</f>
        <v>REG7-11-303172-6099109</v>
      </c>
      <c r="B19" s="92" t="str" cm="1">
        <f t="array" ref="B19">demographics[rating_period]</f>
        <v>SY 2025-2026</v>
      </c>
      <c r="C19" s="92" t="str">
        <f>meta!B5</f>
        <v>BtP</v>
      </c>
      <c r="D19" s="92">
        <f>'PART 5-Commitment'!A9</f>
        <v>0</v>
      </c>
      <c r="E19" s="92">
        <f>'PART 5-Commitment'!D9</f>
        <v>0</v>
      </c>
      <c r="F19" s="92">
        <f>'PART 5-Commitment'!E9</f>
        <v>0</v>
      </c>
      <c r="G19" s="92">
        <f>'PART 5-Commitment'!F9</f>
        <v>0</v>
      </c>
      <c r="H19" s="92">
        <f>'PART 5-Commitment'!G9</f>
        <v>0</v>
      </c>
      <c r="I19" s="92" t="str">
        <f>'PART 5-Commitment'!H9</f>
        <v>Poor</v>
      </c>
    </row>
    <row r="20" spans="1:12">
      <c r="D20" s="92">
        <f>'PART 5-Commitment'!A10</f>
        <v>0</v>
      </c>
      <c r="E20" s="92">
        <f>'PART 5-Commitment'!D10</f>
        <v>0</v>
      </c>
      <c r="F20" s="92">
        <f>'PART 5-Commitment'!E10</f>
        <v>0</v>
      </c>
      <c r="G20" s="92">
        <f>'PART 5-Commitment'!F10</f>
        <v>0</v>
      </c>
      <c r="H20" s="92">
        <f>'PART 5-Commitment'!G10</f>
        <v>0</v>
      </c>
      <c r="I20" s="92" t="str">
        <f>'PART 5-Commitment'!H10</f>
        <v>Poor</v>
      </c>
    </row>
    <row r="21" spans="1:12">
      <c r="D21" s="92">
        <f>'PART 5-Commitment'!A11</f>
        <v>0</v>
      </c>
      <c r="E21" s="92">
        <f>'PART 5-Commitment'!D11</f>
        <v>0</v>
      </c>
      <c r="F21" s="92">
        <f>'PART 5-Commitment'!E11</f>
        <v>0</v>
      </c>
      <c r="G21" s="92">
        <f>'PART 5-Commitment'!F11</f>
        <v>0</v>
      </c>
      <c r="H21" s="92">
        <f>'PART 5-Commitment'!G11</f>
        <v>0</v>
      </c>
      <c r="I21" s="92" t="str">
        <f>'PART 5-Commitment'!H11</f>
        <v>Poor</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922B4-4416-4678-9D04-B6B75615604F}">
  <sheetPr codeName="data1_Sheet1"/>
  <dimension ref="A1:S240"/>
  <sheetViews>
    <sheetView topLeftCell="A217" zoomScale="70" zoomScaleNormal="70" workbookViewId="0">
      <selection activeCell="K13" sqref="K13:M13"/>
    </sheetView>
  </sheetViews>
  <sheetFormatPr defaultColWidth="11.88671875" defaultRowHeight="15.6"/>
  <cols>
    <col min="1" max="1" width="21.44140625" style="9" customWidth="1"/>
    <col min="2" max="2" width="23.33203125" style="9" customWidth="1"/>
    <col min="3" max="4" width="15.77734375" style="9" customWidth="1"/>
    <col min="5" max="5" width="35.44140625" style="9" customWidth="1"/>
    <col min="6" max="6" width="19.109375" style="9" customWidth="1"/>
    <col min="7" max="7" width="19.44140625" style="9" bestFit="1" customWidth="1"/>
    <col min="8" max="8" width="19.44140625" style="9" customWidth="1"/>
    <col min="9" max="9" width="36.6640625" style="9" bestFit="1" customWidth="1"/>
    <col min="10" max="10" width="20.33203125" style="9" bestFit="1" customWidth="1"/>
    <col min="11" max="11" width="36.6640625" style="9" bestFit="1" customWidth="1"/>
    <col min="12" max="13" width="11.88671875" style="9"/>
    <col min="14" max="14" width="9.5546875" style="102" customWidth="1"/>
    <col min="15" max="15" width="102.77734375" style="102" customWidth="1"/>
    <col min="16" max="16" width="11.88671875" style="103"/>
    <col min="17" max="17" width="79.109375" style="103" customWidth="1"/>
    <col min="18" max="18" width="11.88671875" style="9"/>
    <col min="19" max="19" width="46.21875" style="9" customWidth="1"/>
    <col min="20" max="16384" width="11.88671875" style="9"/>
  </cols>
  <sheetData>
    <row r="1" spans="1:19" s="8" customFormat="1">
      <c r="A1" s="8" t="s">
        <v>191</v>
      </c>
      <c r="B1" s="8" t="s">
        <v>192</v>
      </c>
      <c r="C1" s="8" t="s">
        <v>193</v>
      </c>
      <c r="E1" s="8" t="s">
        <v>191</v>
      </c>
      <c r="F1" s="8" t="s">
        <v>194</v>
      </c>
      <c r="G1" s="8" t="s">
        <v>195</v>
      </c>
      <c r="H1" s="8" t="s">
        <v>196</v>
      </c>
      <c r="I1" s="8" t="s">
        <v>197</v>
      </c>
      <c r="J1" s="8" t="s">
        <v>198</v>
      </c>
      <c r="K1" s="8" t="s">
        <v>197</v>
      </c>
      <c r="L1" s="8" t="s">
        <v>199</v>
      </c>
      <c r="N1" s="101" t="s">
        <v>1490</v>
      </c>
      <c r="O1" s="101"/>
      <c r="P1" s="103" t="s">
        <v>1491</v>
      </c>
      <c r="Q1" s="104"/>
      <c r="R1" s="130" t="s">
        <v>1576</v>
      </c>
      <c r="S1" s="131"/>
    </row>
    <row r="2" spans="1:19">
      <c r="A2" s="9" t="s">
        <v>200</v>
      </c>
      <c r="B2" s="9" t="s">
        <v>201</v>
      </c>
      <c r="C2" s="9" t="s">
        <v>202</v>
      </c>
      <c r="E2" s="9" t="s">
        <v>203</v>
      </c>
      <c r="F2" s="9" t="s">
        <v>200</v>
      </c>
      <c r="G2" s="9" t="s">
        <v>204</v>
      </c>
      <c r="H2" s="9" t="s">
        <v>205</v>
      </c>
      <c r="I2" s="4" t="s">
        <v>206</v>
      </c>
      <c r="J2" s="10" t="s">
        <v>206</v>
      </c>
      <c r="K2" s="4" t="s">
        <v>206</v>
      </c>
      <c r="L2" s="9" t="s">
        <v>207</v>
      </c>
      <c r="N2" s="101" t="s">
        <v>1088</v>
      </c>
      <c r="O2" s="101" t="s">
        <v>1387</v>
      </c>
      <c r="P2" s="103" t="s">
        <v>1288</v>
      </c>
      <c r="Q2" s="103" t="s">
        <v>1424</v>
      </c>
      <c r="R2" s="129" t="s">
        <v>1303</v>
      </c>
      <c r="S2" s="129" t="s">
        <v>1516</v>
      </c>
    </row>
    <row r="3" spans="1:19">
      <c r="A3" s="9" t="s">
        <v>200</v>
      </c>
      <c r="B3" s="9" t="s">
        <v>208</v>
      </c>
      <c r="C3" s="9" t="s">
        <v>209</v>
      </c>
      <c r="E3" s="9" t="s">
        <v>210</v>
      </c>
      <c r="F3" s="9" t="s">
        <v>211</v>
      </c>
      <c r="G3" s="9" t="s">
        <v>212</v>
      </c>
      <c r="H3" s="9" t="s">
        <v>213</v>
      </c>
      <c r="I3" s="4" t="s">
        <v>214</v>
      </c>
      <c r="J3" s="9" t="s">
        <v>206</v>
      </c>
      <c r="K3" s="4" t="s">
        <v>214</v>
      </c>
      <c r="L3" s="9" t="s">
        <v>215</v>
      </c>
      <c r="N3" s="101" t="s">
        <v>1053</v>
      </c>
      <c r="O3" s="101" t="s">
        <v>1388</v>
      </c>
      <c r="P3" s="103" t="s">
        <v>1425</v>
      </c>
      <c r="Q3" s="103" t="s">
        <v>1426</v>
      </c>
      <c r="R3" s="129" t="s">
        <v>1517</v>
      </c>
      <c r="S3" s="129" t="s">
        <v>1518</v>
      </c>
    </row>
    <row r="4" spans="1:19">
      <c r="A4" s="9" t="s">
        <v>200</v>
      </c>
      <c r="B4" s="9" t="s">
        <v>216</v>
      </c>
      <c r="C4" s="9" t="s">
        <v>217</v>
      </c>
      <c r="E4" s="9" t="s">
        <v>218</v>
      </c>
      <c r="F4" s="9" t="s">
        <v>219</v>
      </c>
      <c r="G4" s="9" t="s">
        <v>220</v>
      </c>
      <c r="H4" s="9" t="s">
        <v>221</v>
      </c>
      <c r="I4" s="4" t="s">
        <v>214</v>
      </c>
      <c r="J4" s="9" t="s">
        <v>222</v>
      </c>
      <c r="K4" s="4" t="s">
        <v>223</v>
      </c>
      <c r="L4" s="9" t="s">
        <v>224</v>
      </c>
      <c r="N4" s="101" t="s">
        <v>1055</v>
      </c>
      <c r="O4" s="101" t="s">
        <v>1389</v>
      </c>
      <c r="P4" s="103" t="s">
        <v>1427</v>
      </c>
      <c r="Q4" s="103" t="s">
        <v>1428</v>
      </c>
      <c r="R4" s="129" t="s">
        <v>1519</v>
      </c>
      <c r="S4" s="129" t="s">
        <v>1520</v>
      </c>
    </row>
    <row r="5" spans="1:19">
      <c r="A5" s="9" t="s">
        <v>200</v>
      </c>
      <c r="B5" s="9" t="s">
        <v>225</v>
      </c>
      <c r="C5" s="9" t="s">
        <v>226</v>
      </c>
      <c r="E5" s="9" t="s">
        <v>1630</v>
      </c>
      <c r="F5" s="9" t="s">
        <v>1631</v>
      </c>
      <c r="G5" s="9" t="s">
        <v>1654</v>
      </c>
      <c r="H5" s="9" t="s">
        <v>1655</v>
      </c>
      <c r="I5" s="4" t="s">
        <v>223</v>
      </c>
      <c r="J5" s="10" t="s">
        <v>206</v>
      </c>
      <c r="K5" s="4" t="s">
        <v>231</v>
      </c>
      <c r="L5" s="9" t="s">
        <v>232</v>
      </c>
      <c r="N5" s="101" t="s">
        <v>1054</v>
      </c>
      <c r="O5" s="101" t="s">
        <v>1390</v>
      </c>
      <c r="P5" s="103" t="s">
        <v>1289</v>
      </c>
      <c r="Q5" s="103" t="s">
        <v>1429</v>
      </c>
      <c r="R5" s="129" t="s">
        <v>1304</v>
      </c>
      <c r="S5" s="129" t="s">
        <v>1521</v>
      </c>
    </row>
    <row r="6" spans="1:19">
      <c r="A6" s="9" t="s">
        <v>200</v>
      </c>
      <c r="B6" s="9" t="s">
        <v>233</v>
      </c>
      <c r="C6" s="9" t="s">
        <v>234</v>
      </c>
      <c r="E6" s="9" t="s">
        <v>227</v>
      </c>
      <c r="F6" s="9" t="s">
        <v>228</v>
      </c>
      <c r="G6" s="9" t="s">
        <v>229</v>
      </c>
      <c r="H6" s="9" t="s">
        <v>230</v>
      </c>
      <c r="I6" s="4" t="s">
        <v>223</v>
      </c>
      <c r="J6" s="10" t="s">
        <v>222</v>
      </c>
      <c r="K6" s="4" t="s">
        <v>239</v>
      </c>
      <c r="L6" s="9" t="s">
        <v>240</v>
      </c>
      <c r="N6" s="101" t="s">
        <v>1056</v>
      </c>
      <c r="O6" s="101" t="s">
        <v>1391</v>
      </c>
      <c r="P6" s="103" t="s">
        <v>1290</v>
      </c>
      <c r="Q6" s="103" t="s">
        <v>1430</v>
      </c>
      <c r="R6" s="129" t="s">
        <v>1305</v>
      </c>
      <c r="S6" s="129" t="s">
        <v>1522</v>
      </c>
    </row>
    <row r="7" spans="1:19">
      <c r="A7" s="9" t="s">
        <v>200</v>
      </c>
      <c r="B7" s="9" t="s">
        <v>241</v>
      </c>
      <c r="C7" s="9" t="s">
        <v>242</v>
      </c>
      <c r="E7" s="9" t="s">
        <v>235</v>
      </c>
      <c r="F7" s="9" t="s">
        <v>236</v>
      </c>
      <c r="G7" s="9" t="s">
        <v>237</v>
      </c>
      <c r="H7" s="9" t="s">
        <v>238</v>
      </c>
      <c r="I7" s="4" t="s">
        <v>223</v>
      </c>
      <c r="J7" s="10" t="s">
        <v>247</v>
      </c>
      <c r="K7" s="4" t="s">
        <v>248</v>
      </c>
      <c r="L7" s="9" t="s">
        <v>249</v>
      </c>
      <c r="N7" s="101" t="s">
        <v>1057</v>
      </c>
      <c r="O7" s="101" t="s">
        <v>1392</v>
      </c>
      <c r="P7" s="103" t="s">
        <v>1431</v>
      </c>
      <c r="Q7" s="103" t="s">
        <v>1432</v>
      </c>
      <c r="R7" s="129" t="s">
        <v>1523</v>
      </c>
      <c r="S7" s="129" t="s">
        <v>1524</v>
      </c>
    </row>
    <row r="8" spans="1:19">
      <c r="A8" s="9" t="s">
        <v>200</v>
      </c>
      <c r="B8" s="9" t="s">
        <v>250</v>
      </c>
      <c r="C8" s="9" t="s">
        <v>251</v>
      </c>
      <c r="E8" s="9" t="s">
        <v>243</v>
      </c>
      <c r="F8" s="9" t="s">
        <v>244</v>
      </c>
      <c r="G8" s="9" t="s">
        <v>245</v>
      </c>
      <c r="H8" s="9" t="s">
        <v>246</v>
      </c>
      <c r="I8" s="4" t="s">
        <v>231</v>
      </c>
      <c r="J8" s="9" t="s">
        <v>206</v>
      </c>
      <c r="K8" s="4" t="s">
        <v>256</v>
      </c>
      <c r="L8" s="9" t="s">
        <v>257</v>
      </c>
      <c r="N8" s="101" t="s">
        <v>1058</v>
      </c>
      <c r="O8" s="101" t="s">
        <v>1393</v>
      </c>
      <c r="P8" s="103" t="s">
        <v>1433</v>
      </c>
      <c r="Q8" s="103" t="s">
        <v>1434</v>
      </c>
      <c r="R8" s="129" t="s">
        <v>1525</v>
      </c>
      <c r="S8" s="129" t="s">
        <v>1526</v>
      </c>
    </row>
    <row r="9" spans="1:19">
      <c r="A9" s="9" t="s">
        <v>200</v>
      </c>
      <c r="B9" s="9" t="s">
        <v>258</v>
      </c>
      <c r="C9" s="9" t="s">
        <v>259</v>
      </c>
      <c r="E9" s="9" t="s">
        <v>252</v>
      </c>
      <c r="F9" s="9" t="s">
        <v>253</v>
      </c>
      <c r="G9" s="9" t="s">
        <v>254</v>
      </c>
      <c r="H9" s="9" t="s">
        <v>255</v>
      </c>
      <c r="I9" s="4" t="s">
        <v>231</v>
      </c>
      <c r="J9" s="9" t="s">
        <v>222</v>
      </c>
      <c r="K9" s="4" t="s">
        <v>264</v>
      </c>
      <c r="L9" s="9" t="s">
        <v>265</v>
      </c>
      <c r="N9" s="101" t="s">
        <v>1059</v>
      </c>
      <c r="O9" s="101" t="s">
        <v>1394</v>
      </c>
      <c r="P9" s="103" t="s">
        <v>1435</v>
      </c>
      <c r="Q9" s="103" t="s">
        <v>1436</v>
      </c>
      <c r="R9" s="129" t="s">
        <v>1527</v>
      </c>
      <c r="S9" s="129" t="s">
        <v>1528</v>
      </c>
    </row>
    <row r="10" spans="1:19">
      <c r="A10" s="9" t="s">
        <v>200</v>
      </c>
      <c r="B10" s="9" t="s">
        <v>273</v>
      </c>
      <c r="C10" s="9" t="s">
        <v>266</v>
      </c>
      <c r="E10" s="9" t="s">
        <v>260</v>
      </c>
      <c r="F10" s="9" t="s">
        <v>261</v>
      </c>
      <c r="G10" s="9" t="s">
        <v>262</v>
      </c>
      <c r="H10" s="9" t="s">
        <v>263</v>
      </c>
      <c r="I10" s="4" t="s">
        <v>231</v>
      </c>
      <c r="J10" s="9" t="s">
        <v>247</v>
      </c>
      <c r="K10" s="4" t="s">
        <v>271</v>
      </c>
      <c r="L10" s="9" t="s">
        <v>272</v>
      </c>
      <c r="N10" s="101" t="s">
        <v>1060</v>
      </c>
      <c r="O10" s="101" t="s">
        <v>1395</v>
      </c>
      <c r="P10" s="103" t="s">
        <v>1437</v>
      </c>
      <c r="Q10" s="103" t="s">
        <v>1438</v>
      </c>
      <c r="R10" s="129" t="s">
        <v>1529</v>
      </c>
      <c r="S10" s="129" t="s">
        <v>1530</v>
      </c>
    </row>
    <row r="11" spans="1:19">
      <c r="A11" s="9" t="s">
        <v>200</v>
      </c>
      <c r="B11" s="9" t="s">
        <v>282</v>
      </c>
      <c r="C11" s="9" t="s">
        <v>274</v>
      </c>
      <c r="E11" s="9" t="s">
        <v>267</v>
      </c>
      <c r="F11" s="9" t="s">
        <v>268</v>
      </c>
      <c r="G11" s="9" t="s">
        <v>269</v>
      </c>
      <c r="H11" s="9" t="s">
        <v>270</v>
      </c>
      <c r="I11" s="4" t="s">
        <v>231</v>
      </c>
      <c r="J11" s="9" t="s">
        <v>279</v>
      </c>
      <c r="K11" s="4" t="s">
        <v>280</v>
      </c>
      <c r="L11" s="9" t="s">
        <v>281</v>
      </c>
      <c r="N11" s="101" t="s">
        <v>1061</v>
      </c>
      <c r="O11" s="101" t="s">
        <v>1396</v>
      </c>
      <c r="P11" s="103" t="s">
        <v>1291</v>
      </c>
      <c r="Q11" s="103" t="s">
        <v>1439</v>
      </c>
      <c r="R11" s="129" t="s">
        <v>1316</v>
      </c>
      <c r="S11" s="129" t="s">
        <v>1531</v>
      </c>
    </row>
    <row r="12" spans="1:19">
      <c r="A12" s="9" t="s">
        <v>200</v>
      </c>
      <c r="C12" s="9" t="s">
        <v>283</v>
      </c>
      <c r="E12" s="9" t="s">
        <v>275</v>
      </c>
      <c r="F12" s="9" t="s">
        <v>276</v>
      </c>
      <c r="G12" s="9" t="s">
        <v>277</v>
      </c>
      <c r="H12" s="9" t="s">
        <v>278</v>
      </c>
      <c r="I12" s="4" t="s">
        <v>239</v>
      </c>
      <c r="J12" s="10" t="s">
        <v>206</v>
      </c>
      <c r="K12" s="4" t="s">
        <v>288</v>
      </c>
      <c r="L12" s="9" t="s">
        <v>289</v>
      </c>
      <c r="N12" s="101" t="s">
        <v>1062</v>
      </c>
      <c r="O12" s="101" t="s">
        <v>1397</v>
      </c>
      <c r="P12" s="103" t="s">
        <v>1440</v>
      </c>
      <c r="Q12" s="103" t="s">
        <v>1441</v>
      </c>
      <c r="R12" s="129" t="s">
        <v>1532</v>
      </c>
      <c r="S12" s="129" t="s">
        <v>1533</v>
      </c>
    </row>
    <row r="13" spans="1:19">
      <c r="A13" s="9" t="s">
        <v>211</v>
      </c>
      <c r="B13" s="9" t="s">
        <v>290</v>
      </c>
      <c r="C13" s="9" t="s">
        <v>291</v>
      </c>
      <c r="E13" s="9" t="s">
        <v>284</v>
      </c>
      <c r="F13" s="9" t="s">
        <v>285</v>
      </c>
      <c r="G13" s="9" t="s">
        <v>286</v>
      </c>
      <c r="H13" s="9" t="s">
        <v>287</v>
      </c>
      <c r="I13" s="4" t="s">
        <v>239</v>
      </c>
      <c r="J13" s="10" t="s">
        <v>222</v>
      </c>
      <c r="K13" s="4" t="s">
        <v>296</v>
      </c>
      <c r="L13" s="9" t="s">
        <v>297</v>
      </c>
      <c r="N13" s="101" t="s">
        <v>1052</v>
      </c>
      <c r="O13" s="101" t="s">
        <v>1398</v>
      </c>
      <c r="P13" s="103" t="s">
        <v>1442</v>
      </c>
      <c r="Q13" s="103" t="s">
        <v>1443</v>
      </c>
      <c r="R13" s="129" t="s">
        <v>1534</v>
      </c>
      <c r="S13" s="129" t="s">
        <v>1535</v>
      </c>
    </row>
    <row r="14" spans="1:19">
      <c r="A14" s="9" t="s">
        <v>211</v>
      </c>
      <c r="B14" s="9" t="s">
        <v>298</v>
      </c>
      <c r="C14" s="9" t="s">
        <v>299</v>
      </c>
      <c r="E14" s="9" t="s">
        <v>292</v>
      </c>
      <c r="F14" s="9" t="s">
        <v>293</v>
      </c>
      <c r="G14" s="9" t="s">
        <v>294</v>
      </c>
      <c r="H14" s="9" t="s">
        <v>295</v>
      </c>
      <c r="I14" s="4" t="s">
        <v>239</v>
      </c>
      <c r="J14" s="10" t="s">
        <v>279</v>
      </c>
      <c r="K14" s="4" t="s">
        <v>304</v>
      </c>
      <c r="L14" s="9" t="s">
        <v>305</v>
      </c>
      <c r="N14" s="101" t="s">
        <v>1063</v>
      </c>
      <c r="O14" s="101" t="s">
        <v>1399</v>
      </c>
      <c r="P14" s="103" t="s">
        <v>1292</v>
      </c>
      <c r="Q14" s="103" t="s">
        <v>1444</v>
      </c>
      <c r="R14" s="129" t="s">
        <v>1306</v>
      </c>
      <c r="S14" s="129" t="s">
        <v>1536</v>
      </c>
    </row>
    <row r="15" spans="1:19">
      <c r="A15" s="9" t="s">
        <v>211</v>
      </c>
      <c r="B15" s="9" t="s">
        <v>306</v>
      </c>
      <c r="C15" s="9" t="s">
        <v>307</v>
      </c>
      <c r="E15" s="9" t="s">
        <v>300</v>
      </c>
      <c r="F15" s="9" t="s">
        <v>301</v>
      </c>
      <c r="G15" s="9" t="s">
        <v>302</v>
      </c>
      <c r="H15" s="9" t="s">
        <v>303</v>
      </c>
      <c r="I15" s="4" t="s">
        <v>248</v>
      </c>
      <c r="J15" s="9" t="s">
        <v>206</v>
      </c>
      <c r="K15" s="4" t="s">
        <v>312</v>
      </c>
      <c r="L15" s="9" t="s">
        <v>313</v>
      </c>
      <c r="N15" s="101" t="s">
        <v>1064</v>
      </c>
      <c r="O15" s="101" t="s">
        <v>1400</v>
      </c>
      <c r="P15" s="103" t="s">
        <v>1293</v>
      </c>
      <c r="Q15" s="103" t="s">
        <v>1445</v>
      </c>
      <c r="R15" s="129" t="s">
        <v>1307</v>
      </c>
      <c r="S15" s="129" t="s">
        <v>1537</v>
      </c>
    </row>
    <row r="16" spans="1:19">
      <c r="A16" s="9" t="s">
        <v>211</v>
      </c>
      <c r="B16" s="9" t="s">
        <v>314</v>
      </c>
      <c r="C16" s="9" t="s">
        <v>315</v>
      </c>
      <c r="E16" s="9" t="s">
        <v>308</v>
      </c>
      <c r="F16" s="9" t="s">
        <v>309</v>
      </c>
      <c r="G16" s="9" t="s">
        <v>310</v>
      </c>
      <c r="H16" s="9" t="s">
        <v>311</v>
      </c>
      <c r="I16" s="4" t="s">
        <v>248</v>
      </c>
      <c r="J16" s="9" t="s">
        <v>222</v>
      </c>
      <c r="K16" s="4" t="s">
        <v>320</v>
      </c>
      <c r="L16" s="9" t="s">
        <v>321</v>
      </c>
      <c r="N16" s="101" t="s">
        <v>1066</v>
      </c>
      <c r="O16" s="101" t="s">
        <v>1401</v>
      </c>
      <c r="P16" s="103" t="s">
        <v>1446</v>
      </c>
      <c r="Q16" s="103" t="s">
        <v>1447</v>
      </c>
      <c r="R16" s="129" t="s">
        <v>1538</v>
      </c>
      <c r="S16" s="129" t="s">
        <v>1539</v>
      </c>
    </row>
    <row r="17" spans="1:19">
      <c r="A17" s="9" t="s">
        <v>211</v>
      </c>
      <c r="B17" s="9" t="s">
        <v>322</v>
      </c>
      <c r="C17" s="9" t="s">
        <v>323</v>
      </c>
      <c r="E17" s="9" t="s">
        <v>316</v>
      </c>
      <c r="F17" s="9" t="s">
        <v>317</v>
      </c>
      <c r="G17" s="9" t="s">
        <v>318</v>
      </c>
      <c r="H17" s="9" t="s">
        <v>319</v>
      </c>
      <c r="I17" s="4" t="s">
        <v>248</v>
      </c>
      <c r="J17" s="9" t="s">
        <v>247</v>
      </c>
      <c r="K17" s="4" t="s">
        <v>328</v>
      </c>
      <c r="L17" s="9" t="s">
        <v>329</v>
      </c>
      <c r="N17" s="101" t="s">
        <v>1065</v>
      </c>
      <c r="O17" s="101" t="s">
        <v>1402</v>
      </c>
      <c r="P17" s="103" t="s">
        <v>1448</v>
      </c>
      <c r="Q17" s="103" t="s">
        <v>1449</v>
      </c>
      <c r="R17" s="129" t="s">
        <v>1540</v>
      </c>
      <c r="S17" s="129" t="s">
        <v>1541</v>
      </c>
    </row>
    <row r="18" spans="1:19">
      <c r="A18" s="9" t="s">
        <v>211</v>
      </c>
      <c r="B18" s="9" t="s">
        <v>330</v>
      </c>
      <c r="C18" s="9" t="s">
        <v>331</v>
      </c>
      <c r="E18" s="9" t="s">
        <v>324</v>
      </c>
      <c r="F18" s="9" t="s">
        <v>325</v>
      </c>
      <c r="G18" s="9" t="s">
        <v>326</v>
      </c>
      <c r="H18" s="9" t="s">
        <v>327</v>
      </c>
      <c r="I18" s="4" t="s">
        <v>256</v>
      </c>
      <c r="J18" s="10" t="s">
        <v>206</v>
      </c>
      <c r="K18" s="4" t="s">
        <v>336</v>
      </c>
      <c r="L18" s="9" t="s">
        <v>337</v>
      </c>
      <c r="N18" s="101" t="s">
        <v>1067</v>
      </c>
      <c r="O18" s="101" t="s">
        <v>1403</v>
      </c>
      <c r="P18" s="103" t="s">
        <v>1450</v>
      </c>
      <c r="Q18" s="103" t="s">
        <v>1451</v>
      </c>
      <c r="R18" s="129" t="s">
        <v>1542</v>
      </c>
      <c r="S18" s="129" t="s">
        <v>1543</v>
      </c>
    </row>
    <row r="19" spans="1:19">
      <c r="A19" s="9" t="s">
        <v>211</v>
      </c>
      <c r="B19" s="9" t="s">
        <v>338</v>
      </c>
      <c r="C19" s="9" t="s">
        <v>339</v>
      </c>
      <c r="E19" s="9" t="s">
        <v>332</v>
      </c>
      <c r="F19" s="9" t="s">
        <v>333</v>
      </c>
      <c r="G19" s="9" t="s">
        <v>334</v>
      </c>
      <c r="H19" s="9" t="s">
        <v>335</v>
      </c>
      <c r="I19" s="4" t="s">
        <v>256</v>
      </c>
      <c r="J19" s="10" t="s">
        <v>222</v>
      </c>
      <c r="K19" s="4" t="s">
        <v>340</v>
      </c>
      <c r="L19" s="9" t="s">
        <v>341</v>
      </c>
      <c r="N19" s="101" t="s">
        <v>1068</v>
      </c>
      <c r="O19" s="101" t="s">
        <v>1404</v>
      </c>
      <c r="P19" s="103" t="s">
        <v>1452</v>
      </c>
      <c r="Q19" s="103" t="s">
        <v>1453</v>
      </c>
      <c r="R19" s="129" t="s">
        <v>1544</v>
      </c>
      <c r="S19" s="129" t="s">
        <v>1545</v>
      </c>
    </row>
    <row r="20" spans="1:19">
      <c r="A20" s="9" t="s">
        <v>211</v>
      </c>
      <c r="B20" s="9" t="s">
        <v>342</v>
      </c>
      <c r="C20" s="9" t="s">
        <v>343</v>
      </c>
      <c r="I20" s="4" t="s">
        <v>256</v>
      </c>
      <c r="J20" s="10" t="s">
        <v>247</v>
      </c>
      <c r="N20" s="101" t="s">
        <v>1069</v>
      </c>
      <c r="O20" s="101" t="s">
        <v>1405</v>
      </c>
      <c r="P20" s="103" t="s">
        <v>1294</v>
      </c>
      <c r="Q20" s="103" t="s">
        <v>1454</v>
      </c>
      <c r="R20" s="129" t="s">
        <v>1308</v>
      </c>
      <c r="S20" s="129" t="s">
        <v>1546</v>
      </c>
    </row>
    <row r="21" spans="1:19">
      <c r="A21" s="9" t="s">
        <v>219</v>
      </c>
      <c r="B21" s="9" t="s">
        <v>344</v>
      </c>
      <c r="C21" s="9" t="s">
        <v>345</v>
      </c>
      <c r="I21" s="4" t="s">
        <v>256</v>
      </c>
      <c r="J21" s="10" t="s">
        <v>279</v>
      </c>
      <c r="N21" s="101" t="s">
        <v>1070</v>
      </c>
      <c r="O21" s="101" t="s">
        <v>1406</v>
      </c>
      <c r="P21" s="103" t="s">
        <v>1455</v>
      </c>
      <c r="Q21" s="103" t="s">
        <v>1456</v>
      </c>
      <c r="R21" s="129" t="s">
        <v>1547</v>
      </c>
      <c r="S21" s="129" t="s">
        <v>1548</v>
      </c>
    </row>
    <row r="22" spans="1:19">
      <c r="A22" s="9" t="s">
        <v>219</v>
      </c>
      <c r="B22" s="9" t="s">
        <v>346</v>
      </c>
      <c r="C22" s="9" t="s">
        <v>347</v>
      </c>
      <c r="I22" s="4" t="s">
        <v>264</v>
      </c>
      <c r="J22" s="9" t="s">
        <v>206</v>
      </c>
      <c r="N22" s="101" t="s">
        <v>1071</v>
      </c>
      <c r="O22" s="101" t="s">
        <v>1407</v>
      </c>
      <c r="P22" s="103" t="s">
        <v>1457</v>
      </c>
      <c r="Q22" s="103" t="s">
        <v>1458</v>
      </c>
      <c r="R22" s="129" t="s">
        <v>1549</v>
      </c>
      <c r="S22" s="129" t="s">
        <v>1550</v>
      </c>
    </row>
    <row r="23" spans="1:19">
      <c r="A23" s="9" t="s">
        <v>219</v>
      </c>
      <c r="B23" s="9" t="s">
        <v>348</v>
      </c>
      <c r="C23" s="9" t="s">
        <v>349</v>
      </c>
      <c r="I23" s="4" t="s">
        <v>264</v>
      </c>
      <c r="J23" s="9" t="s">
        <v>247</v>
      </c>
      <c r="N23" s="101" t="s">
        <v>1072</v>
      </c>
      <c r="O23" s="101" t="s">
        <v>1408</v>
      </c>
      <c r="P23" s="103" t="s">
        <v>1295</v>
      </c>
      <c r="Q23" s="103" t="s">
        <v>1459</v>
      </c>
      <c r="R23" s="129" t="s">
        <v>1309</v>
      </c>
      <c r="S23" s="129" t="s">
        <v>1551</v>
      </c>
    </row>
    <row r="24" spans="1:19">
      <c r="A24" s="9" t="s">
        <v>219</v>
      </c>
      <c r="B24" s="9" t="s">
        <v>350</v>
      </c>
      <c r="C24" s="9" t="s">
        <v>351</v>
      </c>
      <c r="I24" s="4" t="s">
        <v>271</v>
      </c>
      <c r="J24" s="10" t="s">
        <v>206</v>
      </c>
      <c r="N24" s="101" t="s">
        <v>1073</v>
      </c>
      <c r="O24" s="101" t="s">
        <v>1409</v>
      </c>
      <c r="P24" s="103" t="s">
        <v>1296</v>
      </c>
      <c r="Q24" s="103" t="s">
        <v>1460</v>
      </c>
      <c r="R24" s="129" t="s">
        <v>1310</v>
      </c>
      <c r="S24" s="129" t="s">
        <v>1552</v>
      </c>
    </row>
    <row r="25" spans="1:19">
      <c r="A25" s="9" t="s">
        <v>219</v>
      </c>
      <c r="B25" s="9" t="s">
        <v>352</v>
      </c>
      <c r="C25" s="9" t="s">
        <v>353</v>
      </c>
      <c r="I25" s="4" t="s">
        <v>271</v>
      </c>
      <c r="J25" s="10" t="s">
        <v>247</v>
      </c>
      <c r="N25" s="101" t="s">
        <v>1075</v>
      </c>
      <c r="O25" s="101" t="s">
        <v>1410</v>
      </c>
      <c r="P25" s="103" t="s">
        <v>1297</v>
      </c>
      <c r="Q25" s="103" t="s">
        <v>1461</v>
      </c>
      <c r="R25" s="129" t="s">
        <v>1311</v>
      </c>
      <c r="S25" s="129" t="s">
        <v>1553</v>
      </c>
    </row>
    <row r="26" spans="1:19">
      <c r="A26" s="9" t="s">
        <v>219</v>
      </c>
      <c r="B26" s="9" t="s">
        <v>354</v>
      </c>
      <c r="C26" s="9" t="s">
        <v>355</v>
      </c>
      <c r="I26" s="4" t="s">
        <v>271</v>
      </c>
      <c r="J26" s="10" t="s">
        <v>279</v>
      </c>
      <c r="N26" s="101" t="s">
        <v>1076</v>
      </c>
      <c r="O26" s="101" t="s">
        <v>1411</v>
      </c>
      <c r="P26" s="103" t="s">
        <v>1302</v>
      </c>
      <c r="Q26" s="103" t="s">
        <v>1462</v>
      </c>
      <c r="R26" s="129" t="s">
        <v>1312</v>
      </c>
      <c r="S26" s="129" t="s">
        <v>1554</v>
      </c>
    </row>
    <row r="27" spans="1:19">
      <c r="A27" s="9" t="s">
        <v>219</v>
      </c>
      <c r="B27" s="9" t="s">
        <v>356</v>
      </c>
      <c r="C27" s="9" t="s">
        <v>357</v>
      </c>
      <c r="I27" s="4" t="s">
        <v>280</v>
      </c>
      <c r="J27" s="9" t="s">
        <v>206</v>
      </c>
      <c r="N27" s="101" t="s">
        <v>1074</v>
      </c>
      <c r="O27" s="101" t="s">
        <v>1412</v>
      </c>
      <c r="P27" s="103" t="s">
        <v>1298</v>
      </c>
      <c r="Q27" s="103" t="s">
        <v>1463</v>
      </c>
      <c r="R27" s="129" t="s">
        <v>1555</v>
      </c>
      <c r="S27" s="129" t="s">
        <v>1556</v>
      </c>
    </row>
    <row r="28" spans="1:19">
      <c r="A28" s="9" t="s">
        <v>219</v>
      </c>
      <c r="B28" s="9" t="s">
        <v>358</v>
      </c>
      <c r="C28" s="9" t="s">
        <v>359</v>
      </c>
      <c r="I28" s="4" t="s">
        <v>280</v>
      </c>
      <c r="J28" s="9" t="s">
        <v>279</v>
      </c>
      <c r="N28" s="101" t="s">
        <v>1077</v>
      </c>
      <c r="O28" s="101" t="s">
        <v>1413</v>
      </c>
      <c r="P28" s="103" t="s">
        <v>1299</v>
      </c>
      <c r="Q28" s="103" t="s">
        <v>1464</v>
      </c>
      <c r="R28" s="129" t="s">
        <v>1313</v>
      </c>
      <c r="S28" s="129" t="s">
        <v>1557</v>
      </c>
    </row>
    <row r="29" spans="1:19">
      <c r="A29" s="9" t="s">
        <v>219</v>
      </c>
      <c r="B29" s="9" t="s">
        <v>360</v>
      </c>
      <c r="C29" s="9" t="s">
        <v>361</v>
      </c>
      <c r="I29" s="4" t="s">
        <v>288</v>
      </c>
      <c r="J29" s="10" t="s">
        <v>222</v>
      </c>
      <c r="N29" s="101" t="s">
        <v>1078</v>
      </c>
      <c r="O29" s="101" t="s">
        <v>1414</v>
      </c>
      <c r="P29" s="103" t="s">
        <v>1465</v>
      </c>
      <c r="Q29" s="103" t="s">
        <v>1466</v>
      </c>
      <c r="R29" s="129" t="s">
        <v>1558</v>
      </c>
      <c r="S29" s="129" t="s">
        <v>1559</v>
      </c>
    </row>
    <row r="30" spans="1:19">
      <c r="A30" s="9" t="s">
        <v>219</v>
      </c>
      <c r="B30" s="9" t="s">
        <v>362</v>
      </c>
      <c r="C30" s="9" t="s">
        <v>363</v>
      </c>
      <c r="I30" s="4" t="s">
        <v>296</v>
      </c>
      <c r="J30" s="9" t="s">
        <v>222</v>
      </c>
      <c r="N30" s="101" t="s">
        <v>1079</v>
      </c>
      <c r="O30" s="101" t="s">
        <v>1415</v>
      </c>
      <c r="P30" s="103" t="s">
        <v>1467</v>
      </c>
      <c r="Q30" s="103" t="s">
        <v>1468</v>
      </c>
      <c r="R30" s="129" t="s">
        <v>1560</v>
      </c>
      <c r="S30" s="129" t="s">
        <v>1561</v>
      </c>
    </row>
    <row r="31" spans="1:19">
      <c r="A31" s="9" t="s">
        <v>219</v>
      </c>
      <c r="B31" s="9" t="s">
        <v>364</v>
      </c>
      <c r="C31" s="9" t="s">
        <v>365</v>
      </c>
      <c r="I31" s="4" t="s">
        <v>296</v>
      </c>
      <c r="J31" s="9" t="s">
        <v>247</v>
      </c>
      <c r="N31" s="101" t="s">
        <v>1080</v>
      </c>
      <c r="O31" s="101" t="s">
        <v>1416</v>
      </c>
      <c r="P31" s="103" t="s">
        <v>1469</v>
      </c>
      <c r="Q31" s="103" t="s">
        <v>1470</v>
      </c>
      <c r="R31" s="129" t="s">
        <v>1562</v>
      </c>
      <c r="S31" s="129" t="s">
        <v>1563</v>
      </c>
    </row>
    <row r="32" spans="1:19">
      <c r="A32" s="9" t="s">
        <v>219</v>
      </c>
      <c r="B32" s="9" t="s">
        <v>366</v>
      </c>
      <c r="C32" s="9" t="s">
        <v>367</v>
      </c>
      <c r="I32" s="4" t="s">
        <v>304</v>
      </c>
      <c r="J32" s="10" t="s">
        <v>222</v>
      </c>
      <c r="N32" s="101" t="s">
        <v>1081</v>
      </c>
      <c r="O32" s="101" t="s">
        <v>1417</v>
      </c>
      <c r="P32" s="103" t="s">
        <v>1471</v>
      </c>
      <c r="Q32" s="103" t="s">
        <v>1472</v>
      </c>
      <c r="R32" s="129" t="s">
        <v>1564</v>
      </c>
      <c r="S32" s="129" t="s">
        <v>1565</v>
      </c>
    </row>
    <row r="33" spans="1:19">
      <c r="A33" s="9" t="s">
        <v>219</v>
      </c>
      <c r="B33" s="9" t="s">
        <v>368</v>
      </c>
      <c r="C33" s="9" t="s">
        <v>369</v>
      </c>
      <c r="I33" s="4" t="s">
        <v>304</v>
      </c>
      <c r="J33" s="10" t="s">
        <v>279</v>
      </c>
      <c r="N33" s="101" t="s">
        <v>1082</v>
      </c>
      <c r="O33" s="101" t="s">
        <v>1418</v>
      </c>
      <c r="P33" s="103" t="s">
        <v>1473</v>
      </c>
      <c r="Q33" s="103" t="s">
        <v>1474</v>
      </c>
      <c r="R33" s="129" t="s">
        <v>1566</v>
      </c>
      <c r="S33" s="129" t="s">
        <v>1567</v>
      </c>
    </row>
    <row r="34" spans="1:19">
      <c r="A34" s="9" t="s">
        <v>219</v>
      </c>
      <c r="B34" s="9" t="s">
        <v>370</v>
      </c>
      <c r="C34" s="9" t="s">
        <v>371</v>
      </c>
      <c r="I34" s="4" t="s">
        <v>312</v>
      </c>
      <c r="J34" s="9" t="s">
        <v>222</v>
      </c>
      <c r="N34" s="101" t="s">
        <v>1083</v>
      </c>
      <c r="O34" s="101" t="s">
        <v>1419</v>
      </c>
      <c r="P34" s="103" t="s">
        <v>1300</v>
      </c>
      <c r="Q34" s="103" t="s">
        <v>1475</v>
      </c>
      <c r="R34" s="129" t="s">
        <v>1314</v>
      </c>
      <c r="S34" s="129" t="s">
        <v>1568</v>
      </c>
    </row>
    <row r="35" spans="1:19">
      <c r="A35" s="9" t="s">
        <v>219</v>
      </c>
      <c r="B35" s="9" t="s">
        <v>372</v>
      </c>
      <c r="C35" s="9" t="s">
        <v>373</v>
      </c>
      <c r="I35" s="4" t="s">
        <v>312</v>
      </c>
      <c r="J35" s="9" t="s">
        <v>247</v>
      </c>
      <c r="N35" s="101" t="s">
        <v>1084</v>
      </c>
      <c r="O35" s="101" t="s">
        <v>1420</v>
      </c>
      <c r="P35" s="103" t="s">
        <v>1476</v>
      </c>
      <c r="Q35" s="103" t="s">
        <v>1477</v>
      </c>
      <c r="R35" s="129" t="s">
        <v>1569</v>
      </c>
      <c r="S35" s="129" t="s">
        <v>1570</v>
      </c>
    </row>
    <row r="36" spans="1:19">
      <c r="A36" s="9" t="s">
        <v>219</v>
      </c>
      <c r="B36" s="9" t="s">
        <v>374</v>
      </c>
      <c r="C36" s="9" t="s">
        <v>375</v>
      </c>
      <c r="I36" s="4" t="s">
        <v>312</v>
      </c>
      <c r="J36" s="9" t="s">
        <v>279</v>
      </c>
      <c r="N36" s="101" t="s">
        <v>1085</v>
      </c>
      <c r="O36" s="101" t="s">
        <v>1421</v>
      </c>
      <c r="P36" s="103" t="s">
        <v>1478</v>
      </c>
      <c r="Q36" s="103" t="s">
        <v>1479</v>
      </c>
      <c r="R36" s="129" t="s">
        <v>1571</v>
      </c>
      <c r="S36" s="129" t="s">
        <v>1572</v>
      </c>
    </row>
    <row r="37" spans="1:19">
      <c r="A37" s="9" t="s">
        <v>1631</v>
      </c>
      <c r="B37" s="9" t="s">
        <v>574</v>
      </c>
      <c r="C37" s="9" t="s">
        <v>1632</v>
      </c>
      <c r="I37" s="4" t="s">
        <v>320</v>
      </c>
      <c r="J37" s="10" t="s">
        <v>247</v>
      </c>
      <c r="N37" s="101" t="s">
        <v>1086</v>
      </c>
      <c r="O37" s="101" t="s">
        <v>1422</v>
      </c>
      <c r="P37" s="103" t="s">
        <v>1480</v>
      </c>
      <c r="Q37" s="103" t="s">
        <v>1481</v>
      </c>
      <c r="R37" s="129" t="s">
        <v>1573</v>
      </c>
      <c r="S37" s="129" t="s">
        <v>1574</v>
      </c>
    </row>
    <row r="38" spans="1:19">
      <c r="A38" s="9" t="s">
        <v>1631</v>
      </c>
      <c r="B38" s="9" t="s">
        <v>609</v>
      </c>
      <c r="C38" s="9" t="s">
        <v>1633</v>
      </c>
      <c r="I38" s="4" t="s">
        <v>328</v>
      </c>
      <c r="J38" s="9" t="s">
        <v>247</v>
      </c>
      <c r="N38" s="101" t="s">
        <v>1087</v>
      </c>
      <c r="O38" s="101" t="s">
        <v>1423</v>
      </c>
      <c r="P38" s="103" t="s">
        <v>1301</v>
      </c>
      <c r="Q38" s="103" t="s">
        <v>1482</v>
      </c>
      <c r="R38" s="129" t="s">
        <v>1315</v>
      </c>
      <c r="S38" s="129" t="s">
        <v>1575</v>
      </c>
    </row>
    <row r="39" spans="1:19">
      <c r="A39" s="9" t="s">
        <v>1631</v>
      </c>
      <c r="B39" s="9" t="s">
        <v>611</v>
      </c>
      <c r="C39" s="9" t="s">
        <v>1634</v>
      </c>
      <c r="I39" s="4" t="s">
        <v>328</v>
      </c>
      <c r="J39" s="9" t="s">
        <v>279</v>
      </c>
      <c r="N39" s="101"/>
      <c r="O39" s="101"/>
    </row>
    <row r="40" spans="1:19">
      <c r="A40" s="9" t="s">
        <v>1631</v>
      </c>
      <c r="B40" s="9" t="s">
        <v>560</v>
      </c>
      <c r="C40" s="9" t="s">
        <v>1635</v>
      </c>
      <c r="I40" s="4" t="s">
        <v>336</v>
      </c>
      <c r="J40" s="10" t="s">
        <v>279</v>
      </c>
    </row>
    <row r="41" spans="1:19">
      <c r="A41" s="9" t="s">
        <v>1631</v>
      </c>
      <c r="B41" s="9" t="s">
        <v>561</v>
      </c>
      <c r="C41" s="9" t="s">
        <v>1636</v>
      </c>
      <c r="I41" s="4" t="s">
        <v>340</v>
      </c>
      <c r="J41" s="9" t="s">
        <v>222</v>
      </c>
    </row>
    <row r="42" spans="1:19">
      <c r="A42" s="9" t="s">
        <v>1631</v>
      </c>
      <c r="B42" s="9" t="s">
        <v>584</v>
      </c>
      <c r="C42" s="9" t="s">
        <v>1637</v>
      </c>
      <c r="I42" s="4" t="s">
        <v>340</v>
      </c>
      <c r="J42" s="9" t="s">
        <v>247</v>
      </c>
    </row>
    <row r="43" spans="1:19">
      <c r="A43" s="9" t="s">
        <v>1631</v>
      </c>
      <c r="B43" s="9" t="s">
        <v>586</v>
      </c>
      <c r="C43" s="9" t="s">
        <v>1638</v>
      </c>
    </row>
    <row r="44" spans="1:19">
      <c r="A44" s="9" t="s">
        <v>1631</v>
      </c>
      <c r="B44" s="9" t="s">
        <v>562</v>
      </c>
      <c r="C44" s="9" t="s">
        <v>1639</v>
      </c>
    </row>
    <row r="45" spans="1:19">
      <c r="A45" s="9" t="s">
        <v>1631</v>
      </c>
      <c r="B45" s="9" t="s">
        <v>621</v>
      </c>
      <c r="C45" s="9" t="s">
        <v>1640</v>
      </c>
    </row>
    <row r="46" spans="1:19">
      <c r="A46" s="9" t="s">
        <v>1631</v>
      </c>
      <c r="B46" s="9" t="s">
        <v>600</v>
      </c>
      <c r="C46" s="9" t="s">
        <v>1641</v>
      </c>
    </row>
    <row r="47" spans="1:19">
      <c r="A47" s="9" t="s">
        <v>1631</v>
      </c>
      <c r="B47" s="9" t="s">
        <v>565</v>
      </c>
      <c r="C47" s="9" t="s">
        <v>1642</v>
      </c>
    </row>
    <row r="48" spans="1:19">
      <c r="A48" s="9" t="s">
        <v>1631</v>
      </c>
      <c r="B48" s="9" t="s">
        <v>602</v>
      </c>
      <c r="C48" s="9" t="s">
        <v>1643</v>
      </c>
    </row>
    <row r="49" spans="1:3">
      <c r="A49" s="9" t="s">
        <v>1631</v>
      </c>
      <c r="B49" s="9" t="s">
        <v>568</v>
      </c>
      <c r="C49" s="9" t="s">
        <v>1644</v>
      </c>
    </row>
    <row r="50" spans="1:3">
      <c r="A50" s="9" t="s">
        <v>1631</v>
      </c>
      <c r="B50" s="9" t="s">
        <v>572</v>
      </c>
      <c r="C50" s="9" t="s">
        <v>1645</v>
      </c>
    </row>
    <row r="51" spans="1:3">
      <c r="A51" s="9" t="s">
        <v>1631</v>
      </c>
      <c r="B51" s="9" t="s">
        <v>573</v>
      </c>
      <c r="C51" s="9" t="s">
        <v>1646</v>
      </c>
    </row>
    <row r="52" spans="1:3">
      <c r="A52" s="9" t="s">
        <v>1631</v>
      </c>
      <c r="B52" s="9" t="s">
        <v>579</v>
      </c>
      <c r="C52" s="9" t="s">
        <v>1647</v>
      </c>
    </row>
    <row r="53" spans="1:3">
      <c r="A53" s="9" t="s">
        <v>1631</v>
      </c>
      <c r="B53" s="9" t="s">
        <v>397</v>
      </c>
      <c r="C53" s="9" t="s">
        <v>1648</v>
      </c>
    </row>
    <row r="54" spans="1:3">
      <c r="A54" s="9" t="s">
        <v>1631</v>
      </c>
      <c r="B54" s="9" t="s">
        <v>580</v>
      </c>
      <c r="C54" s="9" t="s">
        <v>1649</v>
      </c>
    </row>
    <row r="55" spans="1:3">
      <c r="A55" s="9" t="s">
        <v>1631</v>
      </c>
      <c r="B55" s="9" t="s">
        <v>581</v>
      </c>
      <c r="C55" s="9" t="s">
        <v>1650</v>
      </c>
    </row>
    <row r="56" spans="1:3">
      <c r="A56" s="9" t="s">
        <v>1631</v>
      </c>
      <c r="B56" s="9" t="s">
        <v>615</v>
      </c>
      <c r="C56" s="9" t="s">
        <v>1651</v>
      </c>
    </row>
    <row r="57" spans="1:3">
      <c r="A57" s="9" t="s">
        <v>1631</v>
      </c>
      <c r="B57" s="9" t="s">
        <v>617</v>
      </c>
      <c r="C57" s="9" t="s">
        <v>1652</v>
      </c>
    </row>
    <row r="58" spans="1:3">
      <c r="A58" s="9" t="s">
        <v>1631</v>
      </c>
      <c r="B58" s="9" t="s">
        <v>582</v>
      </c>
      <c r="C58" s="9" t="s">
        <v>1653</v>
      </c>
    </row>
    <row r="59" spans="1:3">
      <c r="A59" s="9" t="s">
        <v>376</v>
      </c>
      <c r="B59" s="9" t="s">
        <v>377</v>
      </c>
      <c r="C59" s="9" t="s">
        <v>378</v>
      </c>
    </row>
    <row r="60" spans="1:3">
      <c r="A60" s="9" t="s">
        <v>376</v>
      </c>
      <c r="B60" s="9" t="s">
        <v>379</v>
      </c>
      <c r="C60" s="9" t="s">
        <v>380</v>
      </c>
    </row>
    <row r="61" spans="1:3">
      <c r="A61" s="9" t="s">
        <v>376</v>
      </c>
      <c r="B61" s="9" t="s">
        <v>381</v>
      </c>
      <c r="C61" s="9" t="s">
        <v>382</v>
      </c>
    </row>
    <row r="62" spans="1:3">
      <c r="A62" s="9" t="s">
        <v>376</v>
      </c>
      <c r="B62" s="9" t="s">
        <v>383</v>
      </c>
      <c r="C62" s="9" t="s">
        <v>384</v>
      </c>
    </row>
    <row r="63" spans="1:3">
      <c r="A63" s="9" t="s">
        <v>376</v>
      </c>
      <c r="B63" s="9" t="s">
        <v>385</v>
      </c>
      <c r="C63" s="9" t="s">
        <v>386</v>
      </c>
    </row>
    <row r="64" spans="1:3">
      <c r="A64" s="9" t="s">
        <v>376</v>
      </c>
      <c r="B64" s="9" t="s">
        <v>387</v>
      </c>
      <c r="C64" s="9" t="s">
        <v>388</v>
      </c>
    </row>
    <row r="65" spans="1:3">
      <c r="A65" s="9" t="s">
        <v>376</v>
      </c>
      <c r="B65" s="9" t="s">
        <v>389</v>
      </c>
      <c r="C65" s="9" t="s">
        <v>390</v>
      </c>
    </row>
    <row r="66" spans="1:3">
      <c r="A66" s="9" t="s">
        <v>376</v>
      </c>
      <c r="B66" s="9" t="s">
        <v>391</v>
      </c>
      <c r="C66" s="9" t="s">
        <v>392</v>
      </c>
    </row>
    <row r="67" spans="1:3">
      <c r="A67" s="9" t="s">
        <v>376</v>
      </c>
      <c r="B67" s="9" t="s">
        <v>393</v>
      </c>
      <c r="C67" s="9" t="s">
        <v>394</v>
      </c>
    </row>
    <row r="68" spans="1:3">
      <c r="A68" s="9" t="s">
        <v>376</v>
      </c>
      <c r="B68" s="9" t="s">
        <v>395</v>
      </c>
      <c r="C68" s="9" t="s">
        <v>396</v>
      </c>
    </row>
    <row r="69" spans="1:3">
      <c r="A69" s="9" t="s">
        <v>376</v>
      </c>
      <c r="B69" s="9" t="s">
        <v>397</v>
      </c>
      <c r="C69" s="9" t="s">
        <v>398</v>
      </c>
    </row>
    <row r="70" spans="1:3">
      <c r="A70" s="9" t="s">
        <v>376</v>
      </c>
      <c r="B70" s="9" t="s">
        <v>399</v>
      </c>
      <c r="C70" s="9" t="s">
        <v>400</v>
      </c>
    </row>
    <row r="71" spans="1:3">
      <c r="A71" s="9" t="s">
        <v>376</v>
      </c>
      <c r="B71" s="9" t="s">
        <v>401</v>
      </c>
      <c r="C71" s="9" t="s">
        <v>402</v>
      </c>
    </row>
    <row r="72" spans="1:3">
      <c r="A72" s="9" t="s">
        <v>376</v>
      </c>
      <c r="B72" s="9" t="s">
        <v>403</v>
      </c>
      <c r="C72" s="9" t="s">
        <v>404</v>
      </c>
    </row>
    <row r="73" spans="1:3">
      <c r="A73" s="9" t="s">
        <v>405</v>
      </c>
      <c r="B73" s="9" t="s">
        <v>406</v>
      </c>
      <c r="C73" s="9" t="s">
        <v>407</v>
      </c>
    </row>
    <row r="74" spans="1:3">
      <c r="A74" s="9" t="s">
        <v>405</v>
      </c>
      <c r="B74" s="9" t="s">
        <v>408</v>
      </c>
      <c r="C74" s="9" t="s">
        <v>409</v>
      </c>
    </row>
    <row r="75" spans="1:3">
      <c r="A75" s="9" t="s">
        <v>405</v>
      </c>
      <c r="B75" s="9" t="s">
        <v>410</v>
      </c>
      <c r="C75" s="9" t="s">
        <v>411</v>
      </c>
    </row>
    <row r="76" spans="1:3">
      <c r="A76" s="9" t="s">
        <v>405</v>
      </c>
      <c r="B76" s="9" t="s">
        <v>412</v>
      </c>
      <c r="C76" s="9" t="s">
        <v>413</v>
      </c>
    </row>
    <row r="77" spans="1:3">
      <c r="A77" s="9" t="s">
        <v>405</v>
      </c>
      <c r="B77" s="9" t="s">
        <v>414</v>
      </c>
      <c r="C77" s="9" t="s">
        <v>415</v>
      </c>
    </row>
    <row r="78" spans="1:3">
      <c r="A78" s="9" t="s">
        <v>405</v>
      </c>
      <c r="B78" s="9" t="s">
        <v>416</v>
      </c>
      <c r="C78" s="9" t="s">
        <v>417</v>
      </c>
    </row>
    <row r="79" spans="1:3">
      <c r="A79" s="9" t="s">
        <v>405</v>
      </c>
      <c r="B79" s="9" t="s">
        <v>418</v>
      </c>
      <c r="C79" s="9" t="s">
        <v>419</v>
      </c>
    </row>
    <row r="80" spans="1:3">
      <c r="A80" s="9" t="s">
        <v>405</v>
      </c>
      <c r="B80" s="9" t="s">
        <v>420</v>
      </c>
      <c r="C80" s="9" t="s">
        <v>421</v>
      </c>
    </row>
    <row r="81" spans="1:3">
      <c r="A81" s="9" t="s">
        <v>405</v>
      </c>
      <c r="B81" s="9" t="s">
        <v>422</v>
      </c>
      <c r="C81" s="9" t="s">
        <v>423</v>
      </c>
    </row>
    <row r="82" spans="1:3">
      <c r="A82" s="9" t="s">
        <v>424</v>
      </c>
      <c r="B82" s="9" t="s">
        <v>425</v>
      </c>
      <c r="C82" s="9" t="s">
        <v>426</v>
      </c>
    </row>
    <row r="83" spans="1:3">
      <c r="A83" s="9" t="s">
        <v>424</v>
      </c>
      <c r="B83" s="9" t="s">
        <v>427</v>
      </c>
      <c r="C83" s="9" t="s">
        <v>428</v>
      </c>
    </row>
    <row r="84" spans="1:3">
      <c r="A84" s="9" t="s">
        <v>424</v>
      </c>
      <c r="B84" s="9" t="s">
        <v>429</v>
      </c>
      <c r="C84" s="9" t="s">
        <v>430</v>
      </c>
    </row>
    <row r="85" spans="1:3">
      <c r="A85" s="9" t="s">
        <v>424</v>
      </c>
      <c r="B85" s="9" t="s">
        <v>431</v>
      </c>
      <c r="C85" s="9" t="s">
        <v>432</v>
      </c>
    </row>
    <row r="86" spans="1:3">
      <c r="A86" s="9" t="s">
        <v>424</v>
      </c>
      <c r="B86" s="9" t="s">
        <v>433</v>
      </c>
      <c r="C86" s="9" t="s">
        <v>434</v>
      </c>
    </row>
    <row r="87" spans="1:3">
      <c r="A87" s="9" t="s">
        <v>424</v>
      </c>
      <c r="B87" s="9" t="s">
        <v>435</v>
      </c>
      <c r="C87" s="9" t="s">
        <v>436</v>
      </c>
    </row>
    <row r="88" spans="1:3">
      <c r="A88" s="9" t="s">
        <v>424</v>
      </c>
      <c r="B88" s="9" t="s">
        <v>437</v>
      </c>
      <c r="C88" s="9" t="s">
        <v>438</v>
      </c>
    </row>
    <row r="89" spans="1:3">
      <c r="A89" s="9" t="s">
        <v>424</v>
      </c>
      <c r="B89" s="9" t="s">
        <v>439</v>
      </c>
      <c r="C89" s="9" t="s">
        <v>440</v>
      </c>
    </row>
    <row r="90" spans="1:3">
      <c r="A90" s="9" t="s">
        <v>424</v>
      </c>
      <c r="B90" s="9" t="s">
        <v>441</v>
      </c>
      <c r="C90" s="9" t="s">
        <v>442</v>
      </c>
    </row>
    <row r="91" spans="1:3">
      <c r="A91" s="9" t="s">
        <v>424</v>
      </c>
      <c r="B91" s="9" t="s">
        <v>443</v>
      </c>
      <c r="C91" s="9" t="s">
        <v>444</v>
      </c>
    </row>
    <row r="92" spans="1:3">
      <c r="A92" s="9" t="s">
        <v>424</v>
      </c>
      <c r="B92" s="9" t="s">
        <v>445</v>
      </c>
      <c r="C92" s="9" t="s">
        <v>446</v>
      </c>
    </row>
    <row r="93" spans="1:3">
      <c r="A93" s="9" t="s">
        <v>424</v>
      </c>
      <c r="B93" s="9" t="s">
        <v>447</v>
      </c>
      <c r="C93" s="9" t="s">
        <v>448</v>
      </c>
    </row>
    <row r="94" spans="1:3">
      <c r="A94" s="9" t="s">
        <v>424</v>
      </c>
      <c r="B94" s="9" t="s">
        <v>449</v>
      </c>
      <c r="C94" s="9" t="s">
        <v>450</v>
      </c>
    </row>
    <row r="95" spans="1:3">
      <c r="A95" s="9" t="s">
        <v>424</v>
      </c>
      <c r="B95" s="9" t="s">
        <v>451</v>
      </c>
      <c r="C95" s="9" t="s">
        <v>452</v>
      </c>
    </row>
    <row r="96" spans="1:3">
      <c r="A96" s="9" t="s">
        <v>424</v>
      </c>
      <c r="B96" s="9" t="s">
        <v>399</v>
      </c>
      <c r="C96" s="9" t="s">
        <v>453</v>
      </c>
    </row>
    <row r="97" spans="1:3">
      <c r="A97" s="9" t="s">
        <v>424</v>
      </c>
      <c r="B97" s="9" t="s">
        <v>454</v>
      </c>
      <c r="C97" s="9" t="s">
        <v>455</v>
      </c>
    </row>
    <row r="98" spans="1:3">
      <c r="A98" s="9" t="s">
        <v>424</v>
      </c>
      <c r="B98" s="9" t="s">
        <v>456</v>
      </c>
      <c r="C98" s="9" t="s">
        <v>457</v>
      </c>
    </row>
    <row r="99" spans="1:3">
      <c r="A99" s="9" t="s">
        <v>424</v>
      </c>
      <c r="B99" s="9" t="s">
        <v>458</v>
      </c>
      <c r="C99" s="9" t="s">
        <v>459</v>
      </c>
    </row>
    <row r="100" spans="1:3">
      <c r="A100" s="9" t="s">
        <v>424</v>
      </c>
      <c r="B100" s="9" t="s">
        <v>460</v>
      </c>
      <c r="C100" s="9" t="s">
        <v>461</v>
      </c>
    </row>
    <row r="101" spans="1:3">
      <c r="A101" s="9" t="s">
        <v>424</v>
      </c>
      <c r="B101" s="9" t="s">
        <v>462</v>
      </c>
      <c r="C101" s="9" t="s">
        <v>463</v>
      </c>
    </row>
    <row r="102" spans="1:3">
      <c r="A102" s="9" t="s">
        <v>424</v>
      </c>
      <c r="B102" s="9" t="s">
        <v>464</v>
      </c>
      <c r="C102" s="9" t="s">
        <v>465</v>
      </c>
    </row>
    <row r="103" spans="1:3">
      <c r="A103" s="9" t="s">
        <v>466</v>
      </c>
      <c r="B103" s="9" t="s">
        <v>467</v>
      </c>
      <c r="C103" s="9" t="s">
        <v>468</v>
      </c>
    </row>
    <row r="104" spans="1:3">
      <c r="A104" s="9" t="s">
        <v>466</v>
      </c>
      <c r="B104" s="9" t="s">
        <v>469</v>
      </c>
      <c r="C104" s="9" t="s">
        <v>470</v>
      </c>
    </row>
    <row r="105" spans="1:3">
      <c r="A105" s="9" t="s">
        <v>466</v>
      </c>
      <c r="B105" s="9" t="s">
        <v>471</v>
      </c>
      <c r="C105" s="9" t="s">
        <v>472</v>
      </c>
    </row>
    <row r="106" spans="1:3">
      <c r="A106" s="9" t="s">
        <v>466</v>
      </c>
      <c r="B106" s="9" t="s">
        <v>473</v>
      </c>
      <c r="C106" s="9" t="s">
        <v>474</v>
      </c>
    </row>
    <row r="107" spans="1:3">
      <c r="A107" s="9" t="s">
        <v>466</v>
      </c>
      <c r="B107" s="9" t="s">
        <v>475</v>
      </c>
      <c r="C107" s="9" t="s">
        <v>476</v>
      </c>
    </row>
    <row r="108" spans="1:3">
      <c r="A108" s="9" t="s">
        <v>466</v>
      </c>
      <c r="B108" s="9" t="s">
        <v>477</v>
      </c>
      <c r="C108" s="9" t="s">
        <v>478</v>
      </c>
    </row>
    <row r="109" spans="1:3">
      <c r="A109" s="9" t="s">
        <v>466</v>
      </c>
      <c r="B109" s="9" t="s">
        <v>479</v>
      </c>
      <c r="C109" s="9" t="s">
        <v>480</v>
      </c>
    </row>
    <row r="110" spans="1:3">
      <c r="A110" s="9" t="s">
        <v>466</v>
      </c>
      <c r="B110" s="9" t="s">
        <v>481</v>
      </c>
      <c r="C110" s="9" t="s">
        <v>482</v>
      </c>
    </row>
    <row r="111" spans="1:3">
      <c r="A111" s="9" t="s">
        <v>466</v>
      </c>
      <c r="B111" s="9" t="s">
        <v>483</v>
      </c>
      <c r="C111" s="9" t="s">
        <v>484</v>
      </c>
    </row>
    <row r="112" spans="1:3">
      <c r="A112" s="9" t="s">
        <v>466</v>
      </c>
      <c r="B112" s="9" t="s">
        <v>485</v>
      </c>
      <c r="C112" s="9" t="s">
        <v>486</v>
      </c>
    </row>
    <row r="113" spans="1:3">
      <c r="A113" s="9" t="s">
        <v>466</v>
      </c>
      <c r="B113" s="9" t="s">
        <v>487</v>
      </c>
      <c r="C113" s="9" t="s">
        <v>488</v>
      </c>
    </row>
    <row r="114" spans="1:3">
      <c r="A114" s="9" t="s">
        <v>466</v>
      </c>
      <c r="B114" s="9" t="s">
        <v>489</v>
      </c>
      <c r="C114" s="9" t="s">
        <v>490</v>
      </c>
    </row>
    <row r="115" spans="1:3">
      <c r="A115" s="9" t="s">
        <v>466</v>
      </c>
      <c r="B115" s="9" t="s">
        <v>491</v>
      </c>
      <c r="C115" s="9" t="s">
        <v>492</v>
      </c>
    </row>
    <row r="116" spans="1:3">
      <c r="A116" s="9" t="s">
        <v>466</v>
      </c>
      <c r="B116" s="9" t="s">
        <v>493</v>
      </c>
      <c r="C116" s="9" t="s">
        <v>494</v>
      </c>
    </row>
    <row r="117" spans="1:3">
      <c r="A117" s="9" t="s">
        <v>466</v>
      </c>
      <c r="B117" s="9" t="s">
        <v>495</v>
      </c>
      <c r="C117" s="9" t="s">
        <v>496</v>
      </c>
    </row>
    <row r="118" spans="1:3">
      <c r="A118" s="9" t="s">
        <v>466</v>
      </c>
      <c r="B118" s="9" t="s">
        <v>497</v>
      </c>
      <c r="C118" s="9" t="s">
        <v>498</v>
      </c>
    </row>
    <row r="119" spans="1:3">
      <c r="A119" s="9" t="s">
        <v>466</v>
      </c>
      <c r="B119" s="9" t="s">
        <v>499</v>
      </c>
      <c r="C119" s="9" t="s">
        <v>500</v>
      </c>
    </row>
    <row r="120" spans="1:3">
      <c r="A120" s="9" t="s">
        <v>466</v>
      </c>
      <c r="B120" s="9" t="s">
        <v>501</v>
      </c>
      <c r="C120" s="9" t="s">
        <v>502</v>
      </c>
    </row>
    <row r="121" spans="1:3">
      <c r="A121" s="9" t="s">
        <v>466</v>
      </c>
      <c r="B121" s="9" t="s">
        <v>503</v>
      </c>
      <c r="C121" s="9" t="s">
        <v>504</v>
      </c>
    </row>
    <row r="122" spans="1:3">
      <c r="A122" s="9" t="s">
        <v>466</v>
      </c>
      <c r="B122" s="9" t="s">
        <v>505</v>
      </c>
      <c r="C122" s="9" t="s">
        <v>506</v>
      </c>
    </row>
    <row r="123" spans="1:3">
      <c r="A123" s="9" t="s">
        <v>466</v>
      </c>
      <c r="B123" s="9" t="s">
        <v>507</v>
      </c>
      <c r="C123" s="9" t="s">
        <v>508</v>
      </c>
    </row>
    <row r="124" spans="1:3">
      <c r="A124" s="9" t="s">
        <v>466</v>
      </c>
      <c r="B124" s="9" t="s">
        <v>509</v>
      </c>
      <c r="C124" s="9" t="s">
        <v>510</v>
      </c>
    </row>
    <row r="125" spans="1:3">
      <c r="A125" s="9" t="s">
        <v>466</v>
      </c>
      <c r="B125" s="9" t="s">
        <v>511</v>
      </c>
      <c r="C125" s="9" t="s">
        <v>512</v>
      </c>
    </row>
    <row r="126" spans="1:3">
      <c r="A126" s="9" t="s">
        <v>513</v>
      </c>
      <c r="B126" s="9" t="s">
        <v>514</v>
      </c>
      <c r="C126" s="9" t="s">
        <v>515</v>
      </c>
    </row>
    <row r="127" spans="1:3">
      <c r="A127" s="9" t="s">
        <v>513</v>
      </c>
      <c r="B127" s="9" t="s">
        <v>516</v>
      </c>
      <c r="C127" s="9" t="s">
        <v>517</v>
      </c>
    </row>
    <row r="128" spans="1:3">
      <c r="A128" s="9" t="s">
        <v>513</v>
      </c>
      <c r="B128" s="9" t="s">
        <v>518</v>
      </c>
      <c r="C128" s="9" t="s">
        <v>519</v>
      </c>
    </row>
    <row r="129" spans="1:5">
      <c r="A129" s="9" t="s">
        <v>513</v>
      </c>
      <c r="B129" s="9" t="s">
        <v>520</v>
      </c>
      <c r="C129" s="9" t="s">
        <v>521</v>
      </c>
    </row>
    <row r="130" spans="1:5">
      <c r="A130" s="9" t="s">
        <v>513</v>
      </c>
      <c r="B130" s="9" t="s">
        <v>522</v>
      </c>
      <c r="C130" s="9" t="s">
        <v>523</v>
      </c>
    </row>
    <row r="131" spans="1:5">
      <c r="A131" s="9" t="s">
        <v>513</v>
      </c>
      <c r="B131" s="9" t="s">
        <v>524</v>
      </c>
      <c r="C131" s="9" t="s">
        <v>525</v>
      </c>
    </row>
    <row r="132" spans="1:5">
      <c r="A132" s="9" t="s">
        <v>513</v>
      </c>
      <c r="B132" s="9" t="s">
        <v>526</v>
      </c>
      <c r="C132" s="9" t="s">
        <v>527</v>
      </c>
    </row>
    <row r="133" spans="1:5">
      <c r="A133" s="9" t="s">
        <v>528</v>
      </c>
      <c r="B133" s="9" t="s">
        <v>529</v>
      </c>
      <c r="C133" s="9" t="s">
        <v>530</v>
      </c>
    </row>
    <row r="134" spans="1:5">
      <c r="A134" s="9" t="s">
        <v>528</v>
      </c>
      <c r="B134" s="9" t="s">
        <v>531</v>
      </c>
      <c r="C134" s="9" t="s">
        <v>532</v>
      </c>
    </row>
    <row r="135" spans="1:5">
      <c r="A135" s="9" t="s">
        <v>528</v>
      </c>
      <c r="B135" s="9" t="s">
        <v>533</v>
      </c>
      <c r="C135" s="9" t="s">
        <v>534</v>
      </c>
    </row>
    <row r="136" spans="1:5">
      <c r="A136" s="9" t="s">
        <v>528</v>
      </c>
      <c r="B136" s="9" t="s">
        <v>535</v>
      </c>
      <c r="C136" s="9" t="s">
        <v>536</v>
      </c>
    </row>
    <row r="137" spans="1:5">
      <c r="A137" s="9" t="s">
        <v>528</v>
      </c>
      <c r="B137" s="9" t="s">
        <v>537</v>
      </c>
      <c r="C137" s="9" t="s">
        <v>538</v>
      </c>
    </row>
    <row r="138" spans="1:5">
      <c r="A138" s="9" t="s">
        <v>528</v>
      </c>
      <c r="B138" s="9" t="s">
        <v>539</v>
      </c>
      <c r="C138" s="9" t="s">
        <v>540</v>
      </c>
    </row>
    <row r="139" spans="1:5">
      <c r="A139" s="9" t="s">
        <v>528</v>
      </c>
      <c r="B139" s="9" t="s">
        <v>541</v>
      </c>
      <c r="C139" s="9" t="s">
        <v>542</v>
      </c>
      <c r="E139"/>
    </row>
    <row r="140" spans="1:5">
      <c r="A140" s="9" t="s">
        <v>528</v>
      </c>
      <c r="B140" s="9" t="s">
        <v>543</v>
      </c>
      <c r="C140" s="9" t="s">
        <v>544</v>
      </c>
      <c r="E140"/>
    </row>
    <row r="141" spans="1:5">
      <c r="A141" s="9" t="s">
        <v>528</v>
      </c>
      <c r="B141" s="9" t="s">
        <v>545</v>
      </c>
      <c r="C141" s="9" t="s">
        <v>546</v>
      </c>
      <c r="E141"/>
    </row>
    <row r="142" spans="1:5">
      <c r="A142" s="9" t="s">
        <v>528</v>
      </c>
      <c r="B142" s="9" t="s">
        <v>547</v>
      </c>
      <c r="C142" s="9" t="s">
        <v>548</v>
      </c>
      <c r="E142"/>
    </row>
    <row r="143" spans="1:5">
      <c r="A143" s="9" t="s">
        <v>528</v>
      </c>
      <c r="B143" s="9" t="s">
        <v>549</v>
      </c>
      <c r="C143" s="9" t="s">
        <v>550</v>
      </c>
      <c r="E143"/>
    </row>
    <row r="144" spans="1:5">
      <c r="A144" s="9" t="s">
        <v>528</v>
      </c>
      <c r="B144" s="9" t="s">
        <v>551</v>
      </c>
      <c r="C144" s="9" t="s">
        <v>552</v>
      </c>
      <c r="E144"/>
    </row>
    <row r="145" spans="1:5">
      <c r="A145" s="9" t="s">
        <v>528</v>
      </c>
      <c r="B145" s="9" t="s">
        <v>553</v>
      </c>
      <c r="C145" s="9" t="s">
        <v>554</v>
      </c>
      <c r="E145"/>
    </row>
    <row r="146" spans="1:5">
      <c r="A146" s="9" t="s">
        <v>555</v>
      </c>
      <c r="B146" s="9" t="s">
        <v>556</v>
      </c>
      <c r="C146" s="9" t="s">
        <v>557</v>
      </c>
      <c r="E146"/>
    </row>
    <row r="147" spans="1:5">
      <c r="A147" s="9" t="s">
        <v>555</v>
      </c>
      <c r="B147" s="9" t="s">
        <v>558</v>
      </c>
      <c r="C147" s="9" t="s">
        <v>559</v>
      </c>
    </row>
    <row r="148" spans="1:5">
      <c r="A148" s="9" t="s">
        <v>555</v>
      </c>
      <c r="B148" s="9" t="s">
        <v>563</v>
      </c>
      <c r="C148" s="9" t="s">
        <v>564</v>
      </c>
    </row>
    <row r="149" spans="1:5">
      <c r="A149" s="9" t="s">
        <v>555</v>
      </c>
      <c r="B149" s="9" t="s">
        <v>566</v>
      </c>
      <c r="C149" s="9" t="s">
        <v>567</v>
      </c>
    </row>
    <row r="150" spans="1:5">
      <c r="A150" s="9" t="s">
        <v>555</v>
      </c>
      <c r="B150" s="9" t="s">
        <v>1657</v>
      </c>
      <c r="C150" s="9" t="s">
        <v>569</v>
      </c>
    </row>
    <row r="151" spans="1:5">
      <c r="A151" s="9" t="s">
        <v>555</v>
      </c>
      <c r="B151" s="9" t="s">
        <v>570</v>
      </c>
      <c r="C151" s="9" t="s">
        <v>571</v>
      </c>
    </row>
    <row r="152" spans="1:5">
      <c r="A152" s="9" t="s">
        <v>555</v>
      </c>
      <c r="B152" s="9" t="s">
        <v>575</v>
      </c>
      <c r="C152" s="9" t="s">
        <v>576</v>
      </c>
    </row>
    <row r="153" spans="1:5">
      <c r="A153" s="9" t="s">
        <v>555</v>
      </c>
      <c r="B153" s="9" t="s">
        <v>577</v>
      </c>
      <c r="C153" s="9" t="s">
        <v>578</v>
      </c>
    </row>
    <row r="154" spans="1:5">
      <c r="A154" s="9" t="s">
        <v>583</v>
      </c>
      <c r="B154" s="9" t="s">
        <v>584</v>
      </c>
      <c r="C154" s="9" t="s">
        <v>585</v>
      </c>
    </row>
    <row r="155" spans="1:5">
      <c r="A155" s="9" t="s">
        <v>583</v>
      </c>
      <c r="B155" s="9" t="s">
        <v>586</v>
      </c>
      <c r="C155" s="9" t="s">
        <v>587</v>
      </c>
    </row>
    <row r="156" spans="1:5">
      <c r="A156" s="9" t="s">
        <v>583</v>
      </c>
      <c r="B156" s="9" t="s">
        <v>588</v>
      </c>
      <c r="C156" s="9" t="s">
        <v>589</v>
      </c>
    </row>
    <row r="157" spans="1:5">
      <c r="A157" s="9" t="s">
        <v>583</v>
      </c>
      <c r="B157" s="9" t="s">
        <v>590</v>
      </c>
      <c r="C157" s="9" t="s">
        <v>591</v>
      </c>
    </row>
    <row r="158" spans="1:5">
      <c r="A158" s="9" t="s">
        <v>583</v>
      </c>
      <c r="B158" s="9" t="s">
        <v>592</v>
      </c>
      <c r="C158" s="9" t="s">
        <v>593</v>
      </c>
    </row>
    <row r="159" spans="1:5">
      <c r="A159" s="9" t="s">
        <v>583</v>
      </c>
      <c r="B159" s="9" t="s">
        <v>594</v>
      </c>
      <c r="C159" s="9" t="s">
        <v>595</v>
      </c>
    </row>
    <row r="160" spans="1:5">
      <c r="A160" s="9" t="s">
        <v>583</v>
      </c>
      <c r="B160" s="9" t="s">
        <v>596</v>
      </c>
      <c r="C160" s="9" t="s">
        <v>597</v>
      </c>
    </row>
    <row r="161" spans="1:3">
      <c r="A161" s="9" t="s">
        <v>583</v>
      </c>
      <c r="B161" s="9" t="s">
        <v>598</v>
      </c>
      <c r="C161" s="9" t="s">
        <v>599</v>
      </c>
    </row>
    <row r="162" spans="1:3">
      <c r="A162" s="9" t="s">
        <v>583</v>
      </c>
      <c r="B162" s="9" t="s">
        <v>600</v>
      </c>
      <c r="C162" s="9" t="s">
        <v>601</v>
      </c>
    </row>
    <row r="163" spans="1:3">
      <c r="A163" s="9" t="s">
        <v>583</v>
      </c>
      <c r="B163" s="9" t="s">
        <v>602</v>
      </c>
      <c r="C163" s="9" t="s">
        <v>603</v>
      </c>
    </row>
    <row r="164" spans="1:3">
      <c r="A164" s="9" t="s">
        <v>583</v>
      </c>
      <c r="B164" s="9" t="s">
        <v>604</v>
      </c>
      <c r="C164" s="9" t="s">
        <v>605</v>
      </c>
    </row>
    <row r="165" spans="1:3">
      <c r="A165" s="9" t="s">
        <v>583</v>
      </c>
      <c r="B165" s="9" t="s">
        <v>606</v>
      </c>
      <c r="C165" s="9" t="s">
        <v>607</v>
      </c>
    </row>
    <row r="166" spans="1:3">
      <c r="A166" s="9" t="s">
        <v>583</v>
      </c>
      <c r="B166" s="9" t="s">
        <v>547</v>
      </c>
      <c r="C166" s="9" t="s">
        <v>608</v>
      </c>
    </row>
    <row r="167" spans="1:3">
      <c r="A167" s="9" t="s">
        <v>583</v>
      </c>
      <c r="B167" s="9" t="s">
        <v>609</v>
      </c>
      <c r="C167" s="9" t="s">
        <v>610</v>
      </c>
    </row>
    <row r="168" spans="1:3">
      <c r="A168" s="9" t="s">
        <v>583</v>
      </c>
      <c r="B168" s="9" t="s">
        <v>611</v>
      </c>
      <c r="C168" s="9" t="s">
        <v>612</v>
      </c>
    </row>
    <row r="169" spans="1:3">
      <c r="A169" s="9" t="s">
        <v>583</v>
      </c>
      <c r="B169" s="9" t="s">
        <v>613</v>
      </c>
      <c r="C169" s="9" t="s">
        <v>614</v>
      </c>
    </row>
    <row r="170" spans="1:3">
      <c r="A170" s="9" t="s">
        <v>583</v>
      </c>
      <c r="B170" s="9" t="s">
        <v>615</v>
      </c>
      <c r="C170" s="9" t="s">
        <v>616</v>
      </c>
    </row>
    <row r="171" spans="1:3">
      <c r="A171" s="9" t="s">
        <v>583</v>
      </c>
      <c r="B171" s="9" t="s">
        <v>617</v>
      </c>
      <c r="C171" s="9" t="s">
        <v>618</v>
      </c>
    </row>
    <row r="172" spans="1:3">
      <c r="A172" s="9" t="s">
        <v>583</v>
      </c>
      <c r="B172" s="9" t="s">
        <v>619</v>
      </c>
      <c r="C172" s="9" t="s">
        <v>620</v>
      </c>
    </row>
    <row r="173" spans="1:3">
      <c r="A173" s="9" t="s">
        <v>583</v>
      </c>
      <c r="B173" s="9" t="s">
        <v>621</v>
      </c>
      <c r="C173" s="9" t="s">
        <v>622</v>
      </c>
    </row>
    <row r="174" spans="1:3">
      <c r="A174" s="9" t="s">
        <v>623</v>
      </c>
      <c r="B174" s="9" t="s">
        <v>624</v>
      </c>
      <c r="C174" s="9" t="s">
        <v>625</v>
      </c>
    </row>
    <row r="175" spans="1:3">
      <c r="A175" s="9" t="s">
        <v>623</v>
      </c>
      <c r="B175" s="9" t="s">
        <v>626</v>
      </c>
      <c r="C175" s="9" t="s">
        <v>627</v>
      </c>
    </row>
    <row r="176" spans="1:3">
      <c r="A176" s="9" t="s">
        <v>623</v>
      </c>
      <c r="B176" s="9" t="s">
        <v>628</v>
      </c>
      <c r="C176" s="9" t="s">
        <v>629</v>
      </c>
    </row>
    <row r="177" spans="1:17">
      <c r="A177" s="9" t="s">
        <v>623</v>
      </c>
      <c r="B177" s="9" t="s">
        <v>630</v>
      </c>
      <c r="C177" s="9" t="s">
        <v>631</v>
      </c>
    </row>
    <row r="178" spans="1:17">
      <c r="A178" s="9" t="s">
        <v>623</v>
      </c>
      <c r="B178" s="9" t="s">
        <v>632</v>
      </c>
      <c r="C178" s="9" t="s">
        <v>633</v>
      </c>
    </row>
    <row r="179" spans="1:17">
      <c r="A179" s="9" t="s">
        <v>623</v>
      </c>
      <c r="B179" s="9" t="s">
        <v>634</v>
      </c>
      <c r="C179" s="9" t="s">
        <v>635</v>
      </c>
    </row>
    <row r="180" spans="1:17">
      <c r="A180" s="9" t="s">
        <v>623</v>
      </c>
      <c r="B180" s="9" t="s">
        <v>636</v>
      </c>
      <c r="C180" s="9" t="s">
        <v>637</v>
      </c>
    </row>
    <row r="181" spans="1:17">
      <c r="A181" s="9" t="s">
        <v>623</v>
      </c>
      <c r="B181" s="9" t="s">
        <v>638</v>
      </c>
      <c r="C181" s="9" t="s">
        <v>639</v>
      </c>
    </row>
    <row r="182" spans="1:17">
      <c r="A182" s="9" t="s">
        <v>623</v>
      </c>
      <c r="B182" s="9" t="s">
        <v>640</v>
      </c>
      <c r="C182" s="9" t="s">
        <v>641</v>
      </c>
    </row>
    <row r="183" spans="1:17">
      <c r="A183" s="9" t="s">
        <v>623</v>
      </c>
      <c r="B183" s="9" t="s">
        <v>642</v>
      </c>
      <c r="C183" s="9" t="s">
        <v>643</v>
      </c>
    </row>
    <row r="184" spans="1:17">
      <c r="A184" s="9" t="s">
        <v>623</v>
      </c>
      <c r="B184" s="9" t="s">
        <v>644</v>
      </c>
      <c r="C184" s="9" t="s">
        <v>645</v>
      </c>
    </row>
    <row r="185" spans="1:17">
      <c r="A185" s="9" t="s">
        <v>623</v>
      </c>
      <c r="B185" s="9" t="s">
        <v>646</v>
      </c>
      <c r="C185" s="9" t="s">
        <v>647</v>
      </c>
    </row>
    <row r="186" spans="1:17">
      <c r="A186" s="9" t="s">
        <v>623</v>
      </c>
      <c r="B186" s="9" t="s">
        <v>648</v>
      </c>
      <c r="C186" s="9" t="s">
        <v>649</v>
      </c>
    </row>
    <row r="187" spans="1:17">
      <c r="A187" s="9" t="s">
        <v>650</v>
      </c>
      <c r="B187" s="9" t="s">
        <v>651</v>
      </c>
      <c r="C187" s="9" t="s">
        <v>652</v>
      </c>
    </row>
    <row r="188" spans="1:17">
      <c r="A188" s="9" t="s">
        <v>650</v>
      </c>
      <c r="B188" s="9" t="s">
        <v>653</v>
      </c>
      <c r="C188" s="9" t="s">
        <v>654</v>
      </c>
    </row>
    <row r="189" spans="1:17">
      <c r="A189" s="9" t="s">
        <v>650</v>
      </c>
      <c r="B189" s="9" t="s">
        <v>655</v>
      </c>
      <c r="C189" s="9" t="s">
        <v>656</v>
      </c>
    </row>
    <row r="190" spans="1:17">
      <c r="A190" s="9" t="s">
        <v>650</v>
      </c>
      <c r="B190" s="9" t="s">
        <v>657</v>
      </c>
      <c r="C190" s="9" t="s">
        <v>658</v>
      </c>
    </row>
    <row r="191" spans="1:17">
      <c r="A191" s="9" t="s">
        <v>650</v>
      </c>
      <c r="B191" s="9" t="s">
        <v>1659</v>
      </c>
      <c r="C191" s="9" t="s">
        <v>660</v>
      </c>
      <c r="N191" s="9"/>
      <c r="O191" s="9"/>
      <c r="P191" s="9"/>
      <c r="Q191" s="9"/>
    </row>
    <row r="192" spans="1:17">
      <c r="A192" s="9" t="s">
        <v>650</v>
      </c>
      <c r="B192" s="9" t="s">
        <v>659</v>
      </c>
      <c r="C192" s="9" t="s">
        <v>662</v>
      </c>
    </row>
    <row r="193" spans="1:3">
      <c r="A193" s="9" t="s">
        <v>650</v>
      </c>
      <c r="B193" s="9" t="s">
        <v>661</v>
      </c>
      <c r="C193" s="9" t="s">
        <v>664</v>
      </c>
    </row>
    <row r="194" spans="1:3">
      <c r="A194" s="9" t="s">
        <v>650</v>
      </c>
      <c r="B194" s="9" t="s">
        <v>663</v>
      </c>
      <c r="C194" s="9" t="s">
        <v>666</v>
      </c>
    </row>
    <row r="195" spans="1:3">
      <c r="A195" s="9" t="s">
        <v>650</v>
      </c>
      <c r="B195" s="9" t="s">
        <v>665</v>
      </c>
      <c r="C195" s="9" t="s">
        <v>1658</v>
      </c>
    </row>
    <row r="196" spans="1:3">
      <c r="A196" s="9" t="s">
        <v>667</v>
      </c>
      <c r="B196" s="9" t="s">
        <v>668</v>
      </c>
      <c r="C196" s="9" t="s">
        <v>669</v>
      </c>
    </row>
    <row r="197" spans="1:3">
      <c r="A197" s="9" t="s">
        <v>667</v>
      </c>
      <c r="B197" s="9" t="s">
        <v>670</v>
      </c>
      <c r="C197" s="9" t="s">
        <v>671</v>
      </c>
    </row>
    <row r="198" spans="1:3">
      <c r="A198" s="9" t="s">
        <v>667</v>
      </c>
      <c r="B198" s="9" t="s">
        <v>672</v>
      </c>
      <c r="C198" s="9" t="s">
        <v>673</v>
      </c>
    </row>
    <row r="199" spans="1:3">
      <c r="A199" s="9" t="s">
        <v>667</v>
      </c>
      <c r="B199" s="9" t="s">
        <v>674</v>
      </c>
      <c r="C199" s="9" t="s">
        <v>675</v>
      </c>
    </row>
    <row r="200" spans="1:3">
      <c r="A200" s="9" t="s">
        <v>667</v>
      </c>
      <c r="B200" s="9" t="s">
        <v>676</v>
      </c>
      <c r="C200" s="9" t="s">
        <v>677</v>
      </c>
    </row>
    <row r="201" spans="1:3">
      <c r="A201" s="9" t="s">
        <v>667</v>
      </c>
      <c r="B201" s="9" t="s">
        <v>678</v>
      </c>
      <c r="C201" s="9" t="s">
        <v>679</v>
      </c>
    </row>
    <row r="202" spans="1:3">
      <c r="A202" s="9" t="s">
        <v>667</v>
      </c>
      <c r="B202" s="9" t="s">
        <v>680</v>
      </c>
      <c r="C202" s="9" t="s">
        <v>681</v>
      </c>
    </row>
    <row r="203" spans="1:3">
      <c r="A203" s="9" t="s">
        <v>667</v>
      </c>
      <c r="B203" s="9" t="s">
        <v>682</v>
      </c>
      <c r="C203" s="9" t="s">
        <v>683</v>
      </c>
    </row>
    <row r="204" spans="1:3">
      <c r="A204" s="9" t="s">
        <v>667</v>
      </c>
      <c r="B204" s="9" t="s">
        <v>684</v>
      </c>
      <c r="C204" s="9" t="s">
        <v>685</v>
      </c>
    </row>
    <row r="205" spans="1:3">
      <c r="A205" s="9" t="s">
        <v>667</v>
      </c>
      <c r="B205" s="9" t="s">
        <v>686</v>
      </c>
      <c r="C205" s="9" t="s">
        <v>687</v>
      </c>
    </row>
    <row r="206" spans="1:3">
      <c r="A206" s="9" t="s">
        <v>667</v>
      </c>
      <c r="B206" s="9" t="s">
        <v>688</v>
      </c>
      <c r="C206" s="9" t="s">
        <v>689</v>
      </c>
    </row>
    <row r="207" spans="1:3">
      <c r="A207" s="9" t="s">
        <v>667</v>
      </c>
      <c r="B207" s="9" t="s">
        <v>690</v>
      </c>
      <c r="C207" s="9" t="s">
        <v>691</v>
      </c>
    </row>
    <row r="208" spans="1:3">
      <c r="A208" s="9" t="s">
        <v>667</v>
      </c>
      <c r="B208" s="9" t="s">
        <v>692</v>
      </c>
      <c r="C208" s="9" t="s">
        <v>693</v>
      </c>
    </row>
    <row r="209" spans="1:3">
      <c r="A209" s="9" t="s">
        <v>667</v>
      </c>
      <c r="B209" s="9" t="s">
        <v>694</v>
      </c>
      <c r="C209" s="9" t="s">
        <v>695</v>
      </c>
    </row>
    <row r="210" spans="1:3">
      <c r="A210" s="9" t="s">
        <v>696</v>
      </c>
      <c r="B210" s="9" t="s">
        <v>697</v>
      </c>
      <c r="C210" s="9" t="s">
        <v>698</v>
      </c>
    </row>
    <row r="211" spans="1:3">
      <c r="A211" s="9" t="s">
        <v>696</v>
      </c>
      <c r="B211" s="9" t="s">
        <v>699</v>
      </c>
      <c r="C211" s="9" t="s">
        <v>700</v>
      </c>
    </row>
    <row r="212" spans="1:3">
      <c r="A212" s="9" t="s">
        <v>696</v>
      </c>
      <c r="B212" s="9" t="s">
        <v>701</v>
      </c>
      <c r="C212" s="9" t="s">
        <v>702</v>
      </c>
    </row>
    <row r="213" spans="1:3">
      <c r="A213" s="9" t="s">
        <v>696</v>
      </c>
      <c r="B213" s="9" t="s">
        <v>703</v>
      </c>
      <c r="C213" s="9" t="s">
        <v>704</v>
      </c>
    </row>
    <row r="214" spans="1:3">
      <c r="A214" s="9" t="s">
        <v>696</v>
      </c>
      <c r="B214" s="9" t="s">
        <v>705</v>
      </c>
      <c r="C214" s="9" t="s">
        <v>706</v>
      </c>
    </row>
    <row r="215" spans="1:3">
      <c r="A215" s="9" t="s">
        <v>696</v>
      </c>
      <c r="B215" s="9" t="s">
        <v>707</v>
      </c>
      <c r="C215" s="9" t="s">
        <v>708</v>
      </c>
    </row>
    <row r="216" spans="1:3">
      <c r="A216" s="9" t="s">
        <v>696</v>
      </c>
      <c r="B216" s="9" t="s">
        <v>709</v>
      </c>
      <c r="C216" s="9" t="s">
        <v>710</v>
      </c>
    </row>
    <row r="217" spans="1:3">
      <c r="A217" s="9" t="s">
        <v>696</v>
      </c>
      <c r="B217" s="9" t="s">
        <v>711</v>
      </c>
      <c r="C217" s="9" t="s">
        <v>712</v>
      </c>
    </row>
    <row r="218" spans="1:3">
      <c r="A218" s="9" t="s">
        <v>696</v>
      </c>
      <c r="B218" s="9" t="s">
        <v>713</v>
      </c>
      <c r="C218" s="9" t="s">
        <v>714</v>
      </c>
    </row>
    <row r="219" spans="1:3">
      <c r="A219" s="9" t="s">
        <v>696</v>
      </c>
      <c r="B219" s="9" t="s">
        <v>715</v>
      </c>
      <c r="C219" s="9" t="s">
        <v>716</v>
      </c>
    </row>
    <row r="220" spans="1:3">
      <c r="A220" s="9" t="s">
        <v>696</v>
      </c>
      <c r="B220" s="9" t="s">
        <v>717</v>
      </c>
      <c r="C220" s="9" t="s">
        <v>718</v>
      </c>
    </row>
    <row r="221" spans="1:3">
      <c r="A221" s="9" t="s">
        <v>719</v>
      </c>
      <c r="B221" s="9" t="s">
        <v>720</v>
      </c>
      <c r="C221" s="9" t="s">
        <v>721</v>
      </c>
    </row>
    <row r="222" spans="1:3">
      <c r="A222" s="9" t="s">
        <v>719</v>
      </c>
      <c r="B222" s="9" t="s">
        <v>722</v>
      </c>
      <c r="C222" s="9" t="s">
        <v>723</v>
      </c>
    </row>
    <row r="223" spans="1:3">
      <c r="A223" s="9" t="s">
        <v>719</v>
      </c>
      <c r="B223" s="9" t="s">
        <v>724</v>
      </c>
      <c r="C223" s="9" t="s">
        <v>725</v>
      </c>
    </row>
    <row r="224" spans="1:3">
      <c r="A224" s="9" t="s">
        <v>719</v>
      </c>
      <c r="B224" s="9" t="s">
        <v>726</v>
      </c>
      <c r="C224" s="9" t="s">
        <v>727</v>
      </c>
    </row>
    <row r="225" spans="1:3">
      <c r="A225" s="9" t="s">
        <v>719</v>
      </c>
      <c r="B225" s="9" t="s">
        <v>728</v>
      </c>
      <c r="C225" s="9" t="s">
        <v>729</v>
      </c>
    </row>
    <row r="226" spans="1:3">
      <c r="A226" s="9" t="s">
        <v>719</v>
      </c>
      <c r="B226" s="9" t="s">
        <v>730</v>
      </c>
      <c r="C226" s="9" t="s">
        <v>731</v>
      </c>
    </row>
    <row r="227" spans="1:3">
      <c r="A227" s="9" t="s">
        <v>719</v>
      </c>
      <c r="B227" s="9" t="s">
        <v>732</v>
      </c>
      <c r="C227" s="9" t="s">
        <v>733</v>
      </c>
    </row>
    <row r="228" spans="1:3">
      <c r="A228" s="9" t="s">
        <v>719</v>
      </c>
      <c r="B228" s="9" t="s">
        <v>734</v>
      </c>
      <c r="C228" s="9" t="s">
        <v>735</v>
      </c>
    </row>
    <row r="229" spans="1:3">
      <c r="A229" s="9" t="s">
        <v>1656</v>
      </c>
      <c r="B229" s="9" t="s">
        <v>736</v>
      </c>
      <c r="C229" s="9" t="s">
        <v>737</v>
      </c>
    </row>
    <row r="230" spans="1:3">
      <c r="A230" s="9" t="s">
        <v>1656</v>
      </c>
      <c r="B230" s="9" t="s">
        <v>738</v>
      </c>
      <c r="C230" s="9" t="s">
        <v>739</v>
      </c>
    </row>
    <row r="231" spans="1:3">
      <c r="A231" s="9" t="s">
        <v>1656</v>
      </c>
      <c r="B231" s="9" t="s">
        <v>740</v>
      </c>
      <c r="C231" s="9" t="s">
        <v>741</v>
      </c>
    </row>
    <row r="232" spans="1:3">
      <c r="A232" s="9" t="s">
        <v>1656</v>
      </c>
      <c r="B232" s="9" t="s">
        <v>742</v>
      </c>
      <c r="C232" s="9" t="s">
        <v>743</v>
      </c>
    </row>
    <row r="233" spans="1:3">
      <c r="A233" s="9" t="s">
        <v>1656</v>
      </c>
      <c r="B233" s="9" t="s">
        <v>744</v>
      </c>
      <c r="C233" s="9" t="s">
        <v>745</v>
      </c>
    </row>
    <row r="234" spans="1:3">
      <c r="A234" s="9" t="s">
        <v>1656</v>
      </c>
      <c r="B234" s="9" t="s">
        <v>746</v>
      </c>
      <c r="C234" s="9" t="s">
        <v>747</v>
      </c>
    </row>
    <row r="235" spans="1:3">
      <c r="A235" s="9" t="s">
        <v>1656</v>
      </c>
      <c r="B235" s="9" t="s">
        <v>748</v>
      </c>
      <c r="C235" s="9" t="s">
        <v>749</v>
      </c>
    </row>
    <row r="236" spans="1:3">
      <c r="A236" s="9" t="s">
        <v>1656</v>
      </c>
      <c r="B236" s="9" t="s">
        <v>750</v>
      </c>
      <c r="C236" s="9" t="s">
        <v>751</v>
      </c>
    </row>
    <row r="237" spans="1:3">
      <c r="A237" s="9" t="s">
        <v>1656</v>
      </c>
      <c r="B237" s="9" t="s">
        <v>752</v>
      </c>
      <c r="C237" s="9" t="s">
        <v>753</v>
      </c>
    </row>
    <row r="238" spans="1:3">
      <c r="A238" s="9" t="s">
        <v>1656</v>
      </c>
      <c r="B238" s="9" t="s">
        <v>754</v>
      </c>
      <c r="C238" s="9" t="s">
        <v>755</v>
      </c>
    </row>
    <row r="239" spans="1:3">
      <c r="A239" s="9" t="s">
        <v>1656</v>
      </c>
      <c r="B239" s="9" t="s">
        <v>756</v>
      </c>
      <c r="C239" s="9" t="s">
        <v>757</v>
      </c>
    </row>
    <row r="240" spans="1:3">
      <c r="A240" s="9" t="s">
        <v>1656</v>
      </c>
      <c r="B240" s="9" t="s">
        <v>758</v>
      </c>
      <c r="C240" s="9" t="s">
        <v>759</v>
      </c>
    </row>
  </sheetData>
  <sheetProtection algorithmName="SHA-512" hashValue="I01CU2I0Lyu+4tn87/ptFAjbZvUNu5SZ/RJhla4p6fc+pBQxQmOaSXX8HD8o9XeFulUOHxKMKy3aPzE1dRHNOw==" saltValue="vP3h+Bb2yKThkYgEQeEOMA==" spinCount="100000" sheet="1" objects="1" scenarios="1"/>
  <phoneticPr fontId="105" type="noConversion"/>
  <conditionalFormatting sqref="B59:C190 B192:C1048576 C191:C194 B1:C36">
    <cfRule type="duplicateValues" dxfId="74" priority="24"/>
  </conditionalFormatting>
  <dataValidations count="1">
    <dataValidation type="list" allowBlank="1" showInputMessage="1" showErrorMessage="1" sqref="J2:J42" xr:uid="{4E937596-B96F-41AA-99DF-1B3E7B0516F5}">
      <formula1>level_taught_list</formula1>
    </dataValidation>
  </dataValidation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713F9-D2BB-4031-8013-E58A37F365E4}">
  <sheetPr codeName="data2_Sheet1"/>
  <dimension ref="A1:BH39"/>
  <sheetViews>
    <sheetView zoomScaleNormal="100" workbookViewId="0">
      <selection activeCell="K13" sqref="K13:M13"/>
    </sheetView>
  </sheetViews>
  <sheetFormatPr defaultColWidth="12.5546875" defaultRowHeight="14.4"/>
  <cols>
    <col min="1" max="2" width="12.5546875" style="4"/>
    <col min="3" max="3" width="12.5546875" style="5"/>
    <col min="4" max="6" width="17.44140625" style="5" customWidth="1"/>
    <col min="7" max="7" width="12.5546875" style="5"/>
    <col min="8" max="12" width="18.109375" style="5" customWidth="1"/>
    <col min="13" max="13" width="11.44140625" style="5" bestFit="1" customWidth="1"/>
    <col min="14" max="15" width="17.77734375" style="4" bestFit="1" customWidth="1"/>
    <col min="16" max="16" width="17.77734375" style="4" customWidth="1"/>
    <col min="17" max="17" width="12.5546875" style="4" bestFit="1" customWidth="1"/>
    <col min="18" max="18" width="24.88671875" style="4" bestFit="1" customWidth="1"/>
    <col min="19" max="19" width="18.109375" style="4" bestFit="1" customWidth="1"/>
    <col min="20" max="20" width="7.44140625" style="4" bestFit="1" customWidth="1"/>
    <col min="21" max="21" width="19.44140625" style="4" bestFit="1" customWidth="1"/>
    <col min="22" max="22" width="33.21875" style="4" bestFit="1" customWidth="1"/>
    <col min="23" max="23" width="24.88671875" style="4" customWidth="1"/>
    <col min="24" max="24" width="24.5546875" style="4" bestFit="1" customWidth="1"/>
    <col min="25" max="25" width="32.5546875" style="4" bestFit="1" customWidth="1"/>
    <col min="26" max="26" width="38.6640625" style="4" bestFit="1" customWidth="1"/>
    <col min="27" max="27" width="19.77734375" style="4" customWidth="1"/>
    <col min="28" max="28" width="12.5546875" style="4"/>
    <col min="29" max="29" width="26.21875" style="4" bestFit="1" customWidth="1"/>
    <col min="30" max="30" width="11" style="4" customWidth="1"/>
    <col min="31" max="31" width="18.109375" style="4" bestFit="1" customWidth="1"/>
    <col min="32" max="32" width="68.109375" style="4" customWidth="1"/>
    <col min="33" max="34" width="12.5546875" style="5"/>
    <col min="35" max="35" width="15.5546875" style="5" customWidth="1"/>
    <col min="36" max="46" width="12.5546875" style="5"/>
    <col min="47" max="50" width="12.5546875" style="4"/>
    <col min="51" max="60" width="12.5546875" style="5"/>
    <col min="61" max="16384" width="12.5546875" style="4"/>
  </cols>
  <sheetData>
    <row r="1" spans="1:60">
      <c r="A1" s="7" t="s">
        <v>923</v>
      </c>
      <c r="B1" s="7" t="s">
        <v>761</v>
      </c>
      <c r="C1" s="7" t="s">
        <v>760</v>
      </c>
      <c r="D1" s="7" t="s">
        <v>761</v>
      </c>
      <c r="E1" s="7" t="s">
        <v>762</v>
      </c>
      <c r="F1" s="7" t="s">
        <v>761</v>
      </c>
      <c r="G1" s="7" t="s">
        <v>922</v>
      </c>
      <c r="H1" s="7" t="s">
        <v>761</v>
      </c>
      <c r="I1" s="7" t="s">
        <v>763</v>
      </c>
      <c r="J1" s="7" t="s">
        <v>764</v>
      </c>
      <c r="K1" s="7" t="s">
        <v>765</v>
      </c>
      <c r="L1" s="6" t="s">
        <v>766</v>
      </c>
      <c r="M1" s="6" t="s">
        <v>767</v>
      </c>
      <c r="N1" s="6" t="s">
        <v>768</v>
      </c>
      <c r="O1" s="6" t="s">
        <v>769</v>
      </c>
      <c r="P1" s="6"/>
      <c r="Q1" s="6" t="s">
        <v>770</v>
      </c>
      <c r="R1" s="6" t="s">
        <v>771</v>
      </c>
      <c r="S1" s="6" t="s">
        <v>772</v>
      </c>
      <c r="T1" s="6" t="s">
        <v>773</v>
      </c>
      <c r="U1" s="6" t="s">
        <v>774</v>
      </c>
      <c r="V1" s="6" t="s">
        <v>775</v>
      </c>
      <c r="W1" s="6" t="s">
        <v>776</v>
      </c>
      <c r="X1" s="6" t="s">
        <v>777</v>
      </c>
      <c r="Y1" s="6" t="s">
        <v>778</v>
      </c>
      <c r="Z1" s="6" t="s">
        <v>779</v>
      </c>
      <c r="AA1" s="6" t="s">
        <v>780</v>
      </c>
      <c r="AB1" s="6" t="s">
        <v>781</v>
      </c>
      <c r="AC1" s="6" t="s">
        <v>782</v>
      </c>
      <c r="AD1" s="6" t="s">
        <v>783</v>
      </c>
      <c r="AE1" s="6" t="s">
        <v>784</v>
      </c>
      <c r="AF1" s="6" t="s">
        <v>785</v>
      </c>
      <c r="AG1" s="75" t="s">
        <v>1260</v>
      </c>
      <c r="AH1" s="108" t="s">
        <v>1261</v>
      </c>
      <c r="AI1" s="75" t="s">
        <v>1262</v>
      </c>
      <c r="AJ1" s="75" t="s">
        <v>1263</v>
      </c>
      <c r="AK1" s="75" t="s">
        <v>1264</v>
      </c>
      <c r="AL1" s="75" t="s">
        <v>1265</v>
      </c>
      <c r="AM1" s="75" t="s">
        <v>1266</v>
      </c>
      <c r="AN1" s="75" t="s">
        <v>1267</v>
      </c>
      <c r="AO1" s="75" t="s">
        <v>1268</v>
      </c>
      <c r="AP1" s="75" t="s">
        <v>1269</v>
      </c>
      <c r="AQ1" s="75" t="s">
        <v>1270</v>
      </c>
      <c r="AR1" s="75" t="s">
        <v>1271</v>
      </c>
      <c r="AS1" s="75" t="s">
        <v>1272</v>
      </c>
      <c r="AT1" s="75" t="s">
        <v>1273</v>
      </c>
      <c r="AU1" s="74" t="s">
        <v>1274</v>
      </c>
      <c r="AV1" s="109" t="s">
        <v>1275</v>
      </c>
      <c r="AW1" s="109" t="s">
        <v>1276</v>
      </c>
      <c r="AX1" s="74" t="s">
        <v>1277</v>
      </c>
      <c r="AY1" s="75" t="s">
        <v>1278</v>
      </c>
      <c r="AZ1" s="75" t="s">
        <v>1279</v>
      </c>
      <c r="BA1" s="75" t="s">
        <v>1280</v>
      </c>
      <c r="BB1" s="75" t="s">
        <v>1281</v>
      </c>
      <c r="BC1" s="108" t="s">
        <v>1282</v>
      </c>
      <c r="BD1" s="108" t="s">
        <v>1283</v>
      </c>
      <c r="BE1" s="75" t="s">
        <v>1284</v>
      </c>
      <c r="BF1" s="75" t="s">
        <v>1285</v>
      </c>
      <c r="BG1" s="75" t="s">
        <v>1286</v>
      </c>
      <c r="BH1" s="75" t="s">
        <v>1287</v>
      </c>
    </row>
    <row r="2" spans="1:60">
      <c r="A2" s="5">
        <v>9</v>
      </c>
      <c r="B2" s="5">
        <v>5</v>
      </c>
      <c r="C2" s="5">
        <v>8</v>
      </c>
      <c r="D2" s="5">
        <v>5</v>
      </c>
      <c r="E2" s="5">
        <v>7</v>
      </c>
      <c r="F2" s="5">
        <v>5</v>
      </c>
      <c r="G2" s="5">
        <v>6</v>
      </c>
      <c r="H2" s="5">
        <v>5</v>
      </c>
      <c r="I2" s="5">
        <v>0</v>
      </c>
      <c r="J2" s="5" t="s">
        <v>79</v>
      </c>
      <c r="K2" s="5">
        <v>1</v>
      </c>
      <c r="L2" s="4" t="s">
        <v>786</v>
      </c>
      <c r="M2" s="4" t="s">
        <v>787</v>
      </c>
      <c r="N2" s="4" t="s">
        <v>222</v>
      </c>
      <c r="O2" s="4" t="s">
        <v>206</v>
      </c>
      <c r="P2" s="4" t="s">
        <v>788</v>
      </c>
      <c r="Q2" s="4" t="s">
        <v>206</v>
      </c>
      <c r="R2" s="11" t="s">
        <v>789</v>
      </c>
      <c r="S2" s="4" t="s">
        <v>790</v>
      </c>
      <c r="T2" s="4" t="s">
        <v>791</v>
      </c>
      <c r="U2" s="4" t="s">
        <v>792</v>
      </c>
      <c r="V2" s="4" t="s">
        <v>793</v>
      </c>
      <c r="W2" s="4" t="s">
        <v>794</v>
      </c>
      <c r="X2" s="4" t="s">
        <v>795</v>
      </c>
      <c r="Y2" s="12" t="s">
        <v>796</v>
      </c>
      <c r="Z2" s="4" t="s">
        <v>797</v>
      </c>
      <c r="AA2" s="4" t="s">
        <v>798</v>
      </c>
      <c r="AB2" s="4" t="s">
        <v>799</v>
      </c>
      <c r="AC2" s="4" t="s">
        <v>800</v>
      </c>
      <c r="AD2" s="4" t="s">
        <v>801</v>
      </c>
      <c r="AE2" s="4" t="s">
        <v>802</v>
      </c>
      <c r="AF2" s="4" t="s">
        <v>176</v>
      </c>
      <c r="AG2" s="76" t="s">
        <v>1088</v>
      </c>
      <c r="AH2" s="76" t="s">
        <v>802</v>
      </c>
      <c r="AI2" s="77">
        <v>1</v>
      </c>
      <c r="AJ2" s="77">
        <v>1</v>
      </c>
      <c r="AK2" s="77"/>
      <c r="AL2" s="77"/>
      <c r="AM2" s="77"/>
      <c r="AN2" s="78" t="s">
        <v>1088</v>
      </c>
      <c r="AO2" s="78" t="s">
        <v>802</v>
      </c>
      <c r="AP2" s="79">
        <v>1</v>
      </c>
      <c r="AQ2" s="79">
        <v>1</v>
      </c>
      <c r="AR2" s="79"/>
      <c r="AS2" s="79"/>
      <c r="AT2" s="79"/>
      <c r="AU2" s="80" t="s">
        <v>1288</v>
      </c>
      <c r="AV2" s="80" t="s">
        <v>802</v>
      </c>
      <c r="AW2" s="81">
        <v>1</v>
      </c>
      <c r="AX2" s="81">
        <v>1</v>
      </c>
      <c r="AY2" s="81"/>
      <c r="AZ2" s="81"/>
      <c r="BA2" s="81"/>
      <c r="BB2" s="82" t="s">
        <v>1303</v>
      </c>
      <c r="BC2" s="82" t="s">
        <v>802</v>
      </c>
      <c r="BD2" s="82">
        <v>1</v>
      </c>
      <c r="BE2" s="82">
        <v>1</v>
      </c>
      <c r="BF2" s="82"/>
      <c r="BG2" s="82"/>
      <c r="BH2" s="82"/>
    </row>
    <row r="3" spans="1:60">
      <c r="A3" s="5">
        <v>8</v>
      </c>
      <c r="B3" s="5">
        <v>4</v>
      </c>
      <c r="C3" s="5">
        <v>7</v>
      </c>
      <c r="D3" s="5">
        <v>4</v>
      </c>
      <c r="E3" s="5">
        <v>6</v>
      </c>
      <c r="F3" s="5">
        <v>4</v>
      </c>
      <c r="G3" s="5">
        <v>5</v>
      </c>
      <c r="H3" s="5">
        <v>4</v>
      </c>
      <c r="I3" s="5">
        <v>1.5</v>
      </c>
      <c r="J3" s="5" t="s">
        <v>81</v>
      </c>
      <c r="K3" s="5">
        <v>2</v>
      </c>
      <c r="L3" s="4" t="s">
        <v>803</v>
      </c>
      <c r="M3" s="4" t="s">
        <v>804</v>
      </c>
      <c r="N3" s="4" t="s">
        <v>247</v>
      </c>
      <c r="O3" s="4" t="s">
        <v>222</v>
      </c>
      <c r="P3" s="4" t="s">
        <v>805</v>
      </c>
      <c r="Q3" s="12" t="s">
        <v>806</v>
      </c>
      <c r="R3" s="13" t="s">
        <v>807</v>
      </c>
      <c r="S3" s="12" t="s">
        <v>808</v>
      </c>
      <c r="T3" s="4" t="s">
        <v>809</v>
      </c>
      <c r="U3" s="12" t="s">
        <v>810</v>
      </c>
      <c r="V3" s="4" t="s">
        <v>811</v>
      </c>
      <c r="W3" s="4" t="s">
        <v>812</v>
      </c>
      <c r="X3" s="4" t="s">
        <v>813</v>
      </c>
      <c r="Y3" s="114" t="s">
        <v>966</v>
      </c>
      <c r="Z3" s="4" t="s">
        <v>815</v>
      </c>
      <c r="AA3" s="4" t="s">
        <v>816</v>
      </c>
      <c r="AB3" s="4" t="s">
        <v>817</v>
      </c>
      <c r="AC3" s="4" t="s">
        <v>818</v>
      </c>
      <c r="AD3" s="4" t="s">
        <v>819</v>
      </c>
      <c r="AE3" s="4" t="s">
        <v>820</v>
      </c>
      <c r="AG3" s="76" t="s">
        <v>1054</v>
      </c>
      <c r="AH3" s="76" t="s">
        <v>802</v>
      </c>
      <c r="AI3" s="77">
        <v>2</v>
      </c>
      <c r="AJ3" s="77">
        <v>1</v>
      </c>
      <c r="AK3" s="77"/>
      <c r="AL3" s="77"/>
      <c r="AM3" s="77"/>
      <c r="AN3" s="78" t="s">
        <v>1054</v>
      </c>
      <c r="AO3" s="78" t="s">
        <v>802</v>
      </c>
      <c r="AP3" s="79">
        <v>2</v>
      </c>
      <c r="AQ3" s="79">
        <v>1</v>
      </c>
      <c r="AR3" s="79"/>
      <c r="AS3" s="79"/>
      <c r="AT3" s="79"/>
      <c r="AU3" s="80" t="s">
        <v>1289</v>
      </c>
      <c r="AV3" s="80" t="s">
        <v>802</v>
      </c>
      <c r="AW3" s="81">
        <v>2</v>
      </c>
      <c r="AX3" s="81">
        <v>1</v>
      </c>
      <c r="AY3" s="81">
        <v>1</v>
      </c>
      <c r="AZ3" s="81"/>
      <c r="BA3" s="81"/>
      <c r="BB3" s="82" t="s">
        <v>1304</v>
      </c>
      <c r="BC3" s="82" t="s">
        <v>802</v>
      </c>
      <c r="BD3" s="82">
        <v>2</v>
      </c>
      <c r="BE3" s="82">
        <v>1</v>
      </c>
      <c r="BF3" s="82"/>
      <c r="BG3" s="82"/>
      <c r="BH3" s="82"/>
    </row>
    <row r="4" spans="1:60">
      <c r="A4" s="5">
        <v>7</v>
      </c>
      <c r="B4" s="5">
        <v>3</v>
      </c>
      <c r="C4" s="5">
        <v>6</v>
      </c>
      <c r="D4" s="5">
        <v>3</v>
      </c>
      <c r="E4" s="5">
        <v>5</v>
      </c>
      <c r="F4" s="5">
        <v>3</v>
      </c>
      <c r="G4" s="5">
        <v>4</v>
      </c>
      <c r="H4" s="5">
        <v>3</v>
      </c>
      <c r="I4" s="5">
        <v>2.5</v>
      </c>
      <c r="J4" s="5" t="s">
        <v>83</v>
      </c>
      <c r="K4" s="5">
        <v>3</v>
      </c>
      <c r="M4" s="4" t="s">
        <v>821</v>
      </c>
      <c r="N4" s="4" t="s">
        <v>279</v>
      </c>
      <c r="O4" s="4" t="s">
        <v>247</v>
      </c>
      <c r="P4" s="4" t="s">
        <v>822</v>
      </c>
      <c r="Q4" s="4" t="s">
        <v>823</v>
      </c>
      <c r="R4" s="11" t="s">
        <v>824</v>
      </c>
      <c r="S4" s="4" t="s">
        <v>825</v>
      </c>
      <c r="U4" s="4" t="s">
        <v>826</v>
      </c>
      <c r="V4" s="4" t="s">
        <v>827</v>
      </c>
      <c r="W4" s="4" t="s">
        <v>828</v>
      </c>
      <c r="X4" s="4" t="s">
        <v>829</v>
      </c>
      <c r="Y4" s="114" t="s">
        <v>1485</v>
      </c>
      <c r="Z4" s="4" t="s">
        <v>831</v>
      </c>
      <c r="AA4" s="4" t="s">
        <v>832</v>
      </c>
      <c r="AB4" s="4" t="s">
        <v>833</v>
      </c>
      <c r="AF4" s="6" t="s">
        <v>834</v>
      </c>
      <c r="AG4" s="76" t="s">
        <v>1056</v>
      </c>
      <c r="AH4" s="76" t="s">
        <v>802</v>
      </c>
      <c r="AI4" s="77">
        <v>3</v>
      </c>
      <c r="AJ4" s="77">
        <v>1</v>
      </c>
      <c r="AK4" s="77"/>
      <c r="AL4" s="77"/>
      <c r="AM4" s="77"/>
      <c r="AN4" s="78" t="s">
        <v>1056</v>
      </c>
      <c r="AO4" s="78" t="s">
        <v>802</v>
      </c>
      <c r="AP4" s="79">
        <v>3</v>
      </c>
      <c r="AQ4" s="79">
        <v>1</v>
      </c>
      <c r="AR4" s="79"/>
      <c r="AS4" s="79"/>
      <c r="AT4" s="79"/>
      <c r="AU4" s="80" t="s">
        <v>1290</v>
      </c>
      <c r="AV4" s="80" t="s">
        <v>802</v>
      </c>
      <c r="AW4" s="81">
        <v>3</v>
      </c>
      <c r="AX4" s="81">
        <v>1</v>
      </c>
      <c r="AY4" s="81"/>
      <c r="AZ4" s="81"/>
      <c r="BA4" s="81"/>
      <c r="BB4" s="82" t="s">
        <v>1305</v>
      </c>
      <c r="BC4" s="83" t="s">
        <v>802</v>
      </c>
      <c r="BD4" s="82">
        <v>3</v>
      </c>
      <c r="BE4" s="82">
        <v>1</v>
      </c>
      <c r="BF4" s="82">
        <v>1</v>
      </c>
      <c r="BG4" s="82"/>
      <c r="BH4" s="82"/>
    </row>
    <row r="5" spans="1:60">
      <c r="A5" s="5">
        <v>6</v>
      </c>
      <c r="B5" s="5">
        <v>2</v>
      </c>
      <c r="C5" s="5">
        <v>5</v>
      </c>
      <c r="D5" s="5">
        <v>2</v>
      </c>
      <c r="E5" s="5">
        <v>4</v>
      </c>
      <c r="F5" s="5">
        <v>2</v>
      </c>
      <c r="G5" s="5">
        <v>3</v>
      </c>
      <c r="H5" s="5">
        <v>2</v>
      </c>
      <c r="I5" s="5">
        <v>3.5</v>
      </c>
      <c r="J5" s="5" t="s">
        <v>85</v>
      </c>
      <c r="K5" s="5">
        <v>4</v>
      </c>
      <c r="M5" s="4" t="s">
        <v>835</v>
      </c>
      <c r="O5" s="4" t="s">
        <v>279</v>
      </c>
      <c r="P5" s="4" t="s">
        <v>836</v>
      </c>
      <c r="Q5" s="4" t="s">
        <v>837</v>
      </c>
      <c r="R5" s="11" t="s">
        <v>838</v>
      </c>
      <c r="S5" s="4" t="s">
        <v>839</v>
      </c>
      <c r="U5" s="4" t="s">
        <v>840</v>
      </c>
      <c r="W5" s="4" t="s">
        <v>841</v>
      </c>
      <c r="Y5" s="114" t="s">
        <v>1487</v>
      </c>
      <c r="Z5" s="4" t="s">
        <v>842</v>
      </c>
      <c r="AA5" s="4" t="s">
        <v>843</v>
      </c>
      <c r="AB5" s="4" t="s">
        <v>844</v>
      </c>
      <c r="AF5" s="4" t="b">
        <v>0</v>
      </c>
      <c r="AG5" s="76" t="s">
        <v>1061</v>
      </c>
      <c r="AH5" s="76" t="s">
        <v>802</v>
      </c>
      <c r="AI5" s="77">
        <v>4</v>
      </c>
      <c r="AJ5" s="77">
        <v>1</v>
      </c>
      <c r="AK5" s="77"/>
      <c r="AL5" s="77"/>
      <c r="AM5" s="77"/>
      <c r="AN5" s="78" t="s">
        <v>1061</v>
      </c>
      <c r="AO5" s="78" t="s">
        <v>802</v>
      </c>
      <c r="AP5" s="79">
        <v>4</v>
      </c>
      <c r="AQ5" s="79">
        <v>1</v>
      </c>
      <c r="AR5" s="79"/>
      <c r="AS5" s="79"/>
      <c r="AT5" s="79"/>
      <c r="AU5" s="80" t="s">
        <v>1291</v>
      </c>
      <c r="AV5" s="80" t="s">
        <v>802</v>
      </c>
      <c r="AW5" s="81">
        <v>4</v>
      </c>
      <c r="AX5" s="81">
        <v>1</v>
      </c>
      <c r="AY5" s="81">
        <v>1</v>
      </c>
      <c r="AZ5" s="81"/>
      <c r="BA5" s="81"/>
      <c r="BB5" s="83" t="s">
        <v>1316</v>
      </c>
      <c r="BC5" s="83" t="s">
        <v>802</v>
      </c>
      <c r="BD5" s="82">
        <v>4</v>
      </c>
      <c r="BE5" s="82">
        <v>1</v>
      </c>
      <c r="BF5" s="82">
        <v>1</v>
      </c>
      <c r="BG5" s="82"/>
      <c r="BH5" s="82"/>
    </row>
    <row r="6" spans="1:60">
      <c r="A6" s="5">
        <v>5</v>
      </c>
      <c r="B6" s="5">
        <v>1</v>
      </c>
      <c r="C6" s="5">
        <v>4</v>
      </c>
      <c r="D6" s="5">
        <v>1</v>
      </c>
      <c r="E6" s="5">
        <v>3</v>
      </c>
      <c r="F6" s="5">
        <v>1</v>
      </c>
      <c r="G6" s="5">
        <v>2</v>
      </c>
      <c r="H6" s="5">
        <v>1</v>
      </c>
      <c r="I6" s="5">
        <v>4.5</v>
      </c>
      <c r="J6" s="5" t="s">
        <v>87</v>
      </c>
      <c r="K6" s="5">
        <v>5</v>
      </c>
      <c r="Q6" s="4" t="s">
        <v>845</v>
      </c>
      <c r="R6" s="11" t="s">
        <v>846</v>
      </c>
      <c r="S6" s="4" t="s">
        <v>847</v>
      </c>
      <c r="W6" s="4" t="s">
        <v>848</v>
      </c>
      <c r="Y6" s="12" t="s">
        <v>814</v>
      </c>
      <c r="Z6" s="4" t="s">
        <v>849</v>
      </c>
      <c r="AE6" s="6" t="s">
        <v>850</v>
      </c>
      <c r="AG6" s="76" t="s">
        <v>1063</v>
      </c>
      <c r="AH6" s="76" t="s">
        <v>802</v>
      </c>
      <c r="AI6" s="77">
        <v>5</v>
      </c>
      <c r="AJ6" s="77">
        <v>1</v>
      </c>
      <c r="AK6" s="77"/>
      <c r="AL6" s="77"/>
      <c r="AM6" s="77"/>
      <c r="AN6" s="78" t="s">
        <v>1063</v>
      </c>
      <c r="AO6" s="78" t="s">
        <v>802</v>
      </c>
      <c r="AP6" s="79">
        <v>5</v>
      </c>
      <c r="AQ6" s="79">
        <v>1</v>
      </c>
      <c r="AR6" s="79"/>
      <c r="AS6" s="79"/>
      <c r="AT6" s="79"/>
      <c r="AU6" s="80" t="s">
        <v>1292</v>
      </c>
      <c r="AV6" s="80" t="s">
        <v>802</v>
      </c>
      <c r="AW6" s="81">
        <v>5</v>
      </c>
      <c r="AX6" s="81">
        <v>1</v>
      </c>
      <c r="AY6" s="81"/>
      <c r="AZ6" s="81"/>
      <c r="BA6" s="81"/>
      <c r="BB6" s="82" t="s">
        <v>1306</v>
      </c>
      <c r="BC6" s="83" t="s">
        <v>802</v>
      </c>
      <c r="BD6" s="82">
        <v>5</v>
      </c>
      <c r="BE6" s="82">
        <v>1</v>
      </c>
      <c r="BF6" s="82">
        <v>1</v>
      </c>
      <c r="BG6" s="82"/>
      <c r="BH6" s="82"/>
    </row>
    <row r="7" spans="1:60">
      <c r="Q7" s="4" t="s">
        <v>851</v>
      </c>
      <c r="R7" s="11" t="s">
        <v>852</v>
      </c>
      <c r="S7" s="4" t="s">
        <v>853</v>
      </c>
      <c r="W7" s="4" t="s">
        <v>854</v>
      </c>
      <c r="Y7" s="12" t="s">
        <v>830</v>
      </c>
      <c r="Z7" s="4" t="s">
        <v>855</v>
      </c>
      <c r="AE7" s="4" t="s">
        <v>802</v>
      </c>
      <c r="AG7" s="76" t="s">
        <v>1064</v>
      </c>
      <c r="AH7" s="76" t="s">
        <v>802</v>
      </c>
      <c r="AI7" s="77">
        <v>6</v>
      </c>
      <c r="AJ7" s="77">
        <v>1</v>
      </c>
      <c r="AK7" s="77"/>
      <c r="AL7" s="77"/>
      <c r="AM7" s="77"/>
      <c r="AN7" s="78" t="s">
        <v>1064</v>
      </c>
      <c r="AO7" s="78" t="s">
        <v>802</v>
      </c>
      <c r="AP7" s="79">
        <v>6</v>
      </c>
      <c r="AQ7" s="79">
        <v>1</v>
      </c>
      <c r="AR7" s="79"/>
      <c r="AS7" s="79"/>
      <c r="AT7" s="79"/>
      <c r="AU7" s="80" t="s">
        <v>1293</v>
      </c>
      <c r="AV7" s="80" t="s">
        <v>802</v>
      </c>
      <c r="AW7" s="81">
        <v>6</v>
      </c>
      <c r="AX7" s="81">
        <v>1</v>
      </c>
      <c r="AY7" s="81">
        <v>1</v>
      </c>
      <c r="AZ7" s="81"/>
      <c r="BA7" s="81"/>
      <c r="BB7" s="82" t="s">
        <v>1307</v>
      </c>
      <c r="BC7" s="83" t="s">
        <v>802</v>
      </c>
      <c r="BD7" s="82">
        <v>6</v>
      </c>
      <c r="BE7" s="82">
        <v>1</v>
      </c>
      <c r="BF7" s="82">
        <v>1</v>
      </c>
      <c r="BG7" s="82"/>
      <c r="BH7" s="82"/>
    </row>
    <row r="8" spans="1:60">
      <c r="Q8" s="4" t="s">
        <v>856</v>
      </c>
      <c r="R8" s="11" t="s">
        <v>857</v>
      </c>
      <c r="S8" s="4" t="s">
        <v>858</v>
      </c>
      <c r="W8" s="4" t="s">
        <v>859</v>
      </c>
      <c r="Y8" s="12" t="s">
        <v>812</v>
      </c>
      <c r="Z8" s="4" t="s">
        <v>861</v>
      </c>
      <c r="AE8" s="4" t="s">
        <v>820</v>
      </c>
      <c r="AG8" s="76" t="s">
        <v>1069</v>
      </c>
      <c r="AH8" s="76" t="s">
        <v>802</v>
      </c>
      <c r="AI8" s="77">
        <v>7</v>
      </c>
      <c r="AJ8" s="77">
        <v>1</v>
      </c>
      <c r="AK8" s="77"/>
      <c r="AL8" s="77"/>
      <c r="AM8" s="77"/>
      <c r="AN8" s="78" t="s">
        <v>1069</v>
      </c>
      <c r="AO8" s="78" t="s">
        <v>802</v>
      </c>
      <c r="AP8" s="79">
        <v>7</v>
      </c>
      <c r="AQ8" s="79">
        <v>1</v>
      </c>
      <c r="AR8" s="79"/>
      <c r="AS8" s="79"/>
      <c r="AT8" s="79"/>
      <c r="AU8" s="80" t="s">
        <v>1294</v>
      </c>
      <c r="AV8" s="80" t="s">
        <v>802</v>
      </c>
      <c r="AW8" s="81">
        <v>7</v>
      </c>
      <c r="AX8" s="81">
        <v>1</v>
      </c>
      <c r="AY8" s="81"/>
      <c r="AZ8" s="81"/>
      <c r="BA8" s="81"/>
      <c r="BB8" s="82" t="s">
        <v>1308</v>
      </c>
      <c r="BC8" s="83" t="s">
        <v>802</v>
      </c>
      <c r="BD8" s="82">
        <v>7</v>
      </c>
      <c r="BE8" s="82">
        <v>1</v>
      </c>
      <c r="BF8" s="82">
        <v>1</v>
      </c>
      <c r="BG8" s="82"/>
      <c r="BH8" s="82"/>
    </row>
    <row r="9" spans="1:60">
      <c r="C9" s="7"/>
      <c r="Q9" s="4" t="s">
        <v>862</v>
      </c>
      <c r="R9" s="4" t="s">
        <v>863</v>
      </c>
      <c r="S9" s="4" t="s">
        <v>864</v>
      </c>
      <c r="W9" s="4" t="s">
        <v>865</v>
      </c>
      <c r="Y9" s="12" t="s">
        <v>794</v>
      </c>
      <c r="Z9" s="4" t="s">
        <v>867</v>
      </c>
      <c r="AE9" s="4" t="s">
        <v>868</v>
      </c>
      <c r="AG9" s="76" t="s">
        <v>1072</v>
      </c>
      <c r="AH9" s="76" t="s">
        <v>820</v>
      </c>
      <c r="AI9" s="110" t="s">
        <v>1483</v>
      </c>
      <c r="AJ9" s="77">
        <v>1</v>
      </c>
      <c r="AK9" s="77"/>
      <c r="AL9" s="77"/>
      <c r="AM9" s="77">
        <v>1</v>
      </c>
      <c r="AN9" s="78" t="s">
        <v>1072</v>
      </c>
      <c r="AO9" s="78" t="s">
        <v>820</v>
      </c>
      <c r="AP9" s="111" t="s">
        <v>1483</v>
      </c>
      <c r="AQ9" s="79">
        <v>1</v>
      </c>
      <c r="AR9" s="79"/>
      <c r="AS9" s="79"/>
      <c r="AT9" s="79">
        <v>1</v>
      </c>
      <c r="AU9" s="80" t="s">
        <v>1295</v>
      </c>
      <c r="AV9" s="80" t="s">
        <v>820</v>
      </c>
      <c r="AW9" s="112" t="s">
        <v>1483</v>
      </c>
      <c r="AX9" s="81">
        <v>1</v>
      </c>
      <c r="AY9" s="81"/>
      <c r="AZ9" s="81"/>
      <c r="BA9" s="81">
        <v>1</v>
      </c>
      <c r="BB9" s="82" t="s">
        <v>1309</v>
      </c>
      <c r="BC9" s="82" t="s">
        <v>820</v>
      </c>
      <c r="BD9" s="113" t="s">
        <v>1483</v>
      </c>
      <c r="BE9" s="82">
        <v>1</v>
      </c>
      <c r="BF9" s="82"/>
      <c r="BG9" s="82"/>
      <c r="BH9" s="82">
        <v>1</v>
      </c>
    </row>
    <row r="10" spans="1:60">
      <c r="Q10" s="4" t="s">
        <v>869</v>
      </c>
      <c r="R10" s="4" t="s">
        <v>870</v>
      </c>
      <c r="W10" s="4" t="s">
        <v>871</v>
      </c>
      <c r="Y10" s="12" t="s">
        <v>828</v>
      </c>
      <c r="Z10" s="4" t="s">
        <v>873</v>
      </c>
      <c r="AG10" s="76" t="s">
        <v>1073</v>
      </c>
      <c r="AH10" s="76" t="s">
        <v>802</v>
      </c>
      <c r="AI10" s="77">
        <v>8</v>
      </c>
      <c r="AJ10" s="77">
        <v>1</v>
      </c>
      <c r="AK10" s="77"/>
      <c r="AL10" s="77"/>
      <c r="AM10" s="77"/>
      <c r="AN10" s="78" t="s">
        <v>1073</v>
      </c>
      <c r="AO10" s="78" t="s">
        <v>802</v>
      </c>
      <c r="AP10" s="79">
        <v>8</v>
      </c>
      <c r="AQ10" s="79">
        <v>1</v>
      </c>
      <c r="AR10" s="79"/>
      <c r="AS10" s="79"/>
      <c r="AT10" s="79"/>
      <c r="AU10" s="80" t="s">
        <v>1296</v>
      </c>
      <c r="AV10" s="80" t="s">
        <v>802</v>
      </c>
      <c r="AW10" s="81">
        <v>8</v>
      </c>
      <c r="AX10" s="81">
        <v>1</v>
      </c>
      <c r="AY10" s="81">
        <v>1</v>
      </c>
      <c r="AZ10" s="81"/>
      <c r="BA10" s="81"/>
      <c r="BB10" s="82" t="s">
        <v>1310</v>
      </c>
      <c r="BC10" s="83" t="s">
        <v>802</v>
      </c>
      <c r="BD10" s="82">
        <v>8</v>
      </c>
      <c r="BE10" s="82">
        <v>1</v>
      </c>
      <c r="BF10" s="82">
        <v>1</v>
      </c>
      <c r="BG10" s="82"/>
      <c r="BH10" s="82"/>
    </row>
    <row r="11" spans="1:60">
      <c r="Q11" s="4" t="s">
        <v>874</v>
      </c>
      <c r="R11" s="11" t="s">
        <v>875</v>
      </c>
      <c r="W11" s="4" t="s">
        <v>876</v>
      </c>
      <c r="Y11" s="12" t="s">
        <v>860</v>
      </c>
      <c r="Z11" s="4" t="s">
        <v>878</v>
      </c>
      <c r="AG11" s="76" t="s">
        <v>1075</v>
      </c>
      <c r="AH11" s="76" t="s">
        <v>802</v>
      </c>
      <c r="AI11" s="77">
        <v>9</v>
      </c>
      <c r="AJ11" s="77">
        <v>1</v>
      </c>
      <c r="AK11" s="77"/>
      <c r="AL11" s="77"/>
      <c r="AM11" s="77"/>
      <c r="AN11" s="78" t="s">
        <v>1075</v>
      </c>
      <c r="AO11" s="78" t="s">
        <v>802</v>
      </c>
      <c r="AP11" s="79">
        <v>9</v>
      </c>
      <c r="AQ11" s="79">
        <v>1</v>
      </c>
      <c r="AR11" s="79"/>
      <c r="AS11" s="79"/>
      <c r="AT11" s="79"/>
      <c r="AU11" s="80" t="s">
        <v>1297</v>
      </c>
      <c r="AV11" s="80" t="s">
        <v>802</v>
      </c>
      <c r="AW11" s="81">
        <v>9</v>
      </c>
      <c r="AX11" s="81">
        <v>1</v>
      </c>
      <c r="AY11" s="81">
        <v>1</v>
      </c>
      <c r="AZ11" s="81"/>
      <c r="BA11" s="81"/>
      <c r="BB11" s="82" t="s">
        <v>1311</v>
      </c>
      <c r="BC11" s="83" t="s">
        <v>802</v>
      </c>
      <c r="BD11" s="82">
        <v>9</v>
      </c>
      <c r="BE11" s="82">
        <v>1</v>
      </c>
      <c r="BF11" s="82">
        <v>1</v>
      </c>
      <c r="BG11" s="82"/>
      <c r="BH11" s="82"/>
    </row>
    <row r="12" spans="1:60">
      <c r="Q12" s="4" t="s">
        <v>879</v>
      </c>
      <c r="R12" s="11" t="s">
        <v>880</v>
      </c>
      <c r="W12" s="4" t="s">
        <v>862</v>
      </c>
      <c r="Y12" s="12" t="s">
        <v>866</v>
      </c>
      <c r="Z12" s="4" t="s">
        <v>882</v>
      </c>
      <c r="AG12" s="76" t="s">
        <v>1076</v>
      </c>
      <c r="AH12" s="76" t="s">
        <v>820</v>
      </c>
      <c r="AI12" s="110" t="s">
        <v>1483</v>
      </c>
      <c r="AJ12" s="77">
        <v>1</v>
      </c>
      <c r="AK12" s="77"/>
      <c r="AL12" s="77"/>
      <c r="AM12" s="77"/>
      <c r="AN12" s="78" t="s">
        <v>1076</v>
      </c>
      <c r="AO12" s="78" t="s">
        <v>820</v>
      </c>
      <c r="AP12" s="111" t="s">
        <v>1483</v>
      </c>
      <c r="AQ12" s="79">
        <v>1</v>
      </c>
      <c r="AR12" s="79"/>
      <c r="AS12" s="79"/>
      <c r="AT12" s="79"/>
      <c r="AU12" s="80" t="s">
        <v>1302</v>
      </c>
      <c r="AV12" s="80" t="s">
        <v>820</v>
      </c>
      <c r="AW12" s="112" t="s">
        <v>1483</v>
      </c>
      <c r="AX12" s="81">
        <v>1</v>
      </c>
      <c r="AY12" s="81"/>
      <c r="AZ12" s="81"/>
      <c r="BA12" s="81"/>
      <c r="BB12" s="82" t="s">
        <v>1312</v>
      </c>
      <c r="BC12" s="82" t="s">
        <v>820</v>
      </c>
      <c r="BD12" s="113" t="s">
        <v>1483</v>
      </c>
      <c r="BE12" s="82">
        <v>1</v>
      </c>
      <c r="BF12" s="82"/>
      <c r="BG12" s="82"/>
      <c r="BH12" s="82"/>
    </row>
    <row r="13" spans="1:60">
      <c r="Q13" s="4" t="s">
        <v>883</v>
      </c>
      <c r="W13" s="4" t="s">
        <v>881</v>
      </c>
      <c r="Y13" s="12" t="s">
        <v>872</v>
      </c>
      <c r="Z13" s="4" t="s">
        <v>885</v>
      </c>
      <c r="AG13" s="76" t="s">
        <v>1077</v>
      </c>
      <c r="AH13" s="76" t="s">
        <v>820</v>
      </c>
      <c r="AI13" s="110" t="s">
        <v>1483</v>
      </c>
      <c r="AJ13" s="77">
        <v>1</v>
      </c>
      <c r="AK13" s="77"/>
      <c r="AL13" s="77">
        <v>1</v>
      </c>
      <c r="AM13" s="77">
        <v>1</v>
      </c>
      <c r="AN13" s="78" t="s">
        <v>1077</v>
      </c>
      <c r="AO13" s="78" t="s">
        <v>820</v>
      </c>
      <c r="AP13" s="111" t="s">
        <v>1483</v>
      </c>
      <c r="AQ13" s="79">
        <v>1</v>
      </c>
      <c r="AR13" s="79"/>
      <c r="AS13" s="79">
        <v>1</v>
      </c>
      <c r="AT13" s="79">
        <v>1</v>
      </c>
      <c r="AU13" s="80" t="s">
        <v>1299</v>
      </c>
      <c r="AV13" s="80" t="s">
        <v>820</v>
      </c>
      <c r="AW13" s="112" t="s">
        <v>1483</v>
      </c>
      <c r="AX13" s="81">
        <v>1</v>
      </c>
      <c r="AY13" s="81"/>
      <c r="AZ13" s="81">
        <v>1</v>
      </c>
      <c r="BA13" s="81">
        <v>1</v>
      </c>
      <c r="BB13" s="82" t="s">
        <v>1313</v>
      </c>
      <c r="BC13" s="82" t="s">
        <v>820</v>
      </c>
      <c r="BD13" s="113" t="s">
        <v>1483</v>
      </c>
      <c r="BE13" s="82">
        <v>1</v>
      </c>
      <c r="BF13" s="82"/>
      <c r="BG13" s="82"/>
      <c r="BH13" s="82"/>
    </row>
    <row r="14" spans="1:60">
      <c r="Q14" s="4" t="s">
        <v>886</v>
      </c>
      <c r="W14" s="4" t="s">
        <v>884</v>
      </c>
      <c r="Y14" s="114" t="s">
        <v>1486</v>
      </c>
      <c r="Z14" s="4" t="s">
        <v>888</v>
      </c>
      <c r="AG14" s="76" t="s">
        <v>1083</v>
      </c>
      <c r="AH14" s="76" t="s">
        <v>820</v>
      </c>
      <c r="AI14" s="110" t="s">
        <v>1483</v>
      </c>
      <c r="AJ14" s="77">
        <v>1</v>
      </c>
      <c r="AK14" s="77"/>
      <c r="AL14" s="77"/>
      <c r="AM14" s="77"/>
      <c r="AN14" s="78" t="s">
        <v>1083</v>
      </c>
      <c r="AO14" s="78" t="s">
        <v>820</v>
      </c>
      <c r="AP14" s="111" t="s">
        <v>1483</v>
      </c>
      <c r="AQ14" s="79">
        <v>1</v>
      </c>
      <c r="AR14" s="79"/>
      <c r="AS14" s="79"/>
      <c r="AT14" s="79"/>
      <c r="AU14" s="80" t="s">
        <v>1300</v>
      </c>
      <c r="AV14" s="80" t="s">
        <v>820</v>
      </c>
      <c r="AW14" s="112" t="s">
        <v>1483</v>
      </c>
      <c r="AX14" s="81">
        <v>1</v>
      </c>
      <c r="AY14" s="81"/>
      <c r="AZ14" s="81"/>
      <c r="BA14" s="81"/>
      <c r="BB14" s="82" t="s">
        <v>1314</v>
      </c>
      <c r="BC14" s="82" t="s">
        <v>820</v>
      </c>
      <c r="BD14" s="113" t="s">
        <v>1483</v>
      </c>
      <c r="BE14" s="82">
        <v>1</v>
      </c>
      <c r="BF14" s="82"/>
      <c r="BG14" s="82"/>
      <c r="BH14" s="82"/>
    </row>
    <row r="15" spans="1:60">
      <c r="Q15" s="4" t="s">
        <v>889</v>
      </c>
      <c r="W15" s="4" t="s">
        <v>887</v>
      </c>
      <c r="Y15" s="114" t="s">
        <v>1488</v>
      </c>
      <c r="Z15" s="4" t="s">
        <v>891</v>
      </c>
      <c r="AG15" s="76" t="s">
        <v>1087</v>
      </c>
      <c r="AH15" s="76" t="s">
        <v>820</v>
      </c>
      <c r="AI15" s="110" t="s">
        <v>1483</v>
      </c>
      <c r="AJ15" s="77">
        <v>1</v>
      </c>
      <c r="AK15" s="77"/>
      <c r="AL15" s="77">
        <v>1</v>
      </c>
      <c r="AM15" s="77">
        <v>1</v>
      </c>
      <c r="AN15" s="78" t="s">
        <v>1087</v>
      </c>
      <c r="AO15" s="78" t="s">
        <v>820</v>
      </c>
      <c r="AP15" s="111" t="s">
        <v>1483</v>
      </c>
      <c r="AQ15" s="79">
        <v>1</v>
      </c>
      <c r="AR15" s="79"/>
      <c r="AS15" s="79">
        <v>1</v>
      </c>
      <c r="AT15" s="79">
        <v>1</v>
      </c>
      <c r="AU15" s="80" t="s">
        <v>1301</v>
      </c>
      <c r="AV15" s="80" t="s">
        <v>820</v>
      </c>
      <c r="AW15" s="112" t="s">
        <v>1483</v>
      </c>
      <c r="AX15" s="81">
        <v>1</v>
      </c>
      <c r="AY15" s="81"/>
      <c r="AZ15" s="81">
        <v>1</v>
      </c>
      <c r="BA15" s="81">
        <v>1</v>
      </c>
      <c r="BB15" s="82" t="s">
        <v>1315</v>
      </c>
      <c r="BC15" s="82" t="s">
        <v>820</v>
      </c>
      <c r="BD15" s="113" t="s">
        <v>1483</v>
      </c>
      <c r="BE15" s="82">
        <v>1</v>
      </c>
      <c r="BF15" s="82"/>
      <c r="BG15" s="82"/>
      <c r="BH15" s="82"/>
    </row>
    <row r="16" spans="1:60">
      <c r="Q16" s="4" t="s">
        <v>892</v>
      </c>
      <c r="W16" s="4" t="s">
        <v>890</v>
      </c>
      <c r="Y16" s="12" t="s">
        <v>877</v>
      </c>
      <c r="Z16" s="4" t="s">
        <v>894</v>
      </c>
    </row>
    <row r="17" spans="17:26">
      <c r="Q17" s="4" t="s">
        <v>869</v>
      </c>
      <c r="W17" s="4" t="s">
        <v>895</v>
      </c>
      <c r="Y17" s="12" t="s">
        <v>881</v>
      </c>
      <c r="Z17" s="4" t="s">
        <v>897</v>
      </c>
    </row>
    <row r="18" spans="17:26">
      <c r="Y18" s="12" t="s">
        <v>884</v>
      </c>
      <c r="Z18" s="4" t="s">
        <v>899</v>
      </c>
    </row>
    <row r="19" spans="17:26">
      <c r="Y19" s="12" t="s">
        <v>887</v>
      </c>
      <c r="Z19" s="4" t="s">
        <v>901</v>
      </c>
    </row>
    <row r="20" spans="17:26">
      <c r="Y20" s="12" t="s">
        <v>890</v>
      </c>
      <c r="Z20" s="4" t="s">
        <v>903</v>
      </c>
    </row>
    <row r="21" spans="17:26">
      <c r="Y21" s="12" t="s">
        <v>893</v>
      </c>
      <c r="Z21" s="4" t="s">
        <v>904</v>
      </c>
    </row>
    <row r="22" spans="17:26">
      <c r="Y22" s="12" t="s">
        <v>896</v>
      </c>
      <c r="Z22" s="4" t="s">
        <v>906</v>
      </c>
    </row>
    <row r="23" spans="17:26">
      <c r="Y23" s="12" t="s">
        <v>898</v>
      </c>
      <c r="Z23" s="4" t="s">
        <v>908</v>
      </c>
    </row>
    <row r="24" spans="17:26">
      <c r="Y24" s="12" t="s">
        <v>900</v>
      </c>
      <c r="Z24" s="4" t="s">
        <v>880</v>
      </c>
    </row>
    <row r="25" spans="17:26">
      <c r="Y25" s="12" t="s">
        <v>902</v>
      </c>
      <c r="Z25" s="4" t="s">
        <v>875</v>
      </c>
    </row>
    <row r="26" spans="17:26">
      <c r="Y26" s="12" t="s">
        <v>907</v>
      </c>
      <c r="Z26" s="4" t="s">
        <v>870</v>
      </c>
    </row>
    <row r="27" spans="17:26">
      <c r="Y27" s="12" t="s">
        <v>909</v>
      </c>
      <c r="Z27" s="4" t="s">
        <v>863</v>
      </c>
    </row>
    <row r="28" spans="17:26">
      <c r="Y28" s="12" t="s">
        <v>910</v>
      </c>
      <c r="Z28" s="4" t="s">
        <v>914</v>
      </c>
    </row>
    <row r="29" spans="17:26">
      <c r="Y29" s="12" t="s">
        <v>911</v>
      </c>
      <c r="Z29" s="4" t="s">
        <v>916</v>
      </c>
    </row>
    <row r="30" spans="17:26">
      <c r="Y30" s="12" t="s">
        <v>912</v>
      </c>
    </row>
    <row r="31" spans="17:26">
      <c r="Y31" s="12" t="s">
        <v>913</v>
      </c>
    </row>
    <row r="32" spans="17:26">
      <c r="Y32" s="12" t="s">
        <v>915</v>
      </c>
    </row>
    <row r="33" spans="25:25">
      <c r="Y33" s="12" t="s">
        <v>917</v>
      </c>
    </row>
    <row r="34" spans="25:25">
      <c r="Y34" s="12" t="s">
        <v>918</v>
      </c>
    </row>
    <row r="35" spans="25:25">
      <c r="Y35" s="12" t="s">
        <v>919</v>
      </c>
    </row>
    <row r="36" spans="25:25">
      <c r="Y36" s="12" t="s">
        <v>920</v>
      </c>
    </row>
    <row r="37" spans="25:25">
      <c r="Y37" s="12" t="s">
        <v>921</v>
      </c>
    </row>
    <row r="38" spans="25:25">
      <c r="Y38" s="114" t="s">
        <v>1489</v>
      </c>
    </row>
    <row r="39" spans="25:25">
      <c r="Y39" s="12" t="s">
        <v>905</v>
      </c>
    </row>
  </sheetData>
  <sheetProtection algorithmName="SHA-512" hashValue="4JbeFcdgDCffFCUqd8qkGXOj6S09k3iaeE/60HkvLLO2Oj0mAWAB7V+W29qrG3Uw2O3I7l4iWvqdn5HriKgmvg==" saltValue="eDjwqpi8nFe+9rj5o8VnkQ==" spinCount="100000" sheet="1" objects="1" scenarios="1"/>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8E920-BB5F-49D4-9B7E-AB57CE5C1F3B}">
  <sheetPr codeName="Status_Sheet">
    <pageSetUpPr fitToPage="1"/>
  </sheetPr>
  <dimension ref="A1:P36"/>
  <sheetViews>
    <sheetView showGridLines="0" showRowColHeaders="0" tabSelected="1" zoomScale="90" zoomScaleNormal="90" workbookViewId="0">
      <selection activeCell="Q4" sqref="Q4"/>
    </sheetView>
  </sheetViews>
  <sheetFormatPr defaultColWidth="9.6640625" defaultRowHeight="15.45" customHeight="1"/>
  <cols>
    <col min="1" max="1" width="3.33203125" style="148" customWidth="1"/>
    <col min="2" max="2" width="3.77734375" style="148" customWidth="1"/>
    <col min="3" max="3" width="9.6640625" style="148" customWidth="1"/>
    <col min="4" max="4" width="4" style="148" customWidth="1"/>
    <col min="5" max="5" width="17.21875" style="148" customWidth="1"/>
    <col min="6" max="6" width="8.5546875" style="148" customWidth="1"/>
    <col min="7" max="7" width="20.21875" style="148" customWidth="1"/>
    <col min="8" max="8" width="4.21875" style="148" customWidth="1"/>
    <col min="9" max="9" width="15.88671875" style="148" customWidth="1"/>
    <col min="10" max="10" width="3.44140625" style="148" customWidth="1"/>
    <col min="11" max="11" width="6.44140625" style="148" customWidth="1"/>
    <col min="12" max="12" width="7" style="148" customWidth="1"/>
    <col min="13" max="13" width="9.88671875" style="148" customWidth="1"/>
    <col min="14" max="14" width="4.21875" style="148" customWidth="1"/>
    <col min="15" max="15" width="35.88671875" style="148" customWidth="1"/>
    <col min="16" max="16" width="3.6640625" style="148" customWidth="1"/>
    <col min="17" max="18" width="9.6640625" style="148"/>
    <col min="19" max="19" width="5.88671875" style="148" customWidth="1"/>
    <col min="20" max="20" width="0.21875" style="148" customWidth="1"/>
    <col min="21" max="21" width="9.6640625" style="148" customWidth="1"/>
    <col min="22" max="16384" width="9.6640625" style="148"/>
  </cols>
  <sheetData>
    <row r="1" spans="1:16" s="147" customFormat="1" ht="31.2" customHeight="1">
      <c r="A1" s="516" t="str">
        <f>HOME!A1</f>
        <v>OFFICIAL ELECTRONIC IPCRF TOOL
 SY 2025-2026</v>
      </c>
      <c r="B1" s="516"/>
      <c r="C1" s="516"/>
      <c r="D1" s="516"/>
      <c r="E1" s="516"/>
      <c r="F1" s="516"/>
      <c r="G1" s="516"/>
      <c r="H1" s="516"/>
      <c r="I1" s="516"/>
      <c r="J1" s="516"/>
      <c r="K1" s="516"/>
      <c r="L1" s="516"/>
      <c r="M1" s="516"/>
      <c r="N1" s="516"/>
      <c r="O1" s="516"/>
      <c r="P1" s="516"/>
    </row>
    <row r="2" spans="1:16" s="147" customFormat="1" ht="31.2">
      <c r="A2" s="516" t="str">
        <f>HOME!E17&amp;" Teacher"</f>
        <v>Beginning towards Proficient Teacher</v>
      </c>
      <c r="B2" s="516"/>
      <c r="C2" s="516"/>
      <c r="D2" s="516"/>
      <c r="E2" s="516"/>
      <c r="F2" s="516"/>
      <c r="G2" s="516"/>
      <c r="H2" s="516"/>
      <c r="I2" s="516"/>
      <c r="J2" s="516"/>
      <c r="K2" s="516"/>
      <c r="L2" s="516"/>
      <c r="M2" s="516"/>
      <c r="N2" s="516"/>
      <c r="O2" s="516"/>
      <c r="P2" s="516"/>
    </row>
    <row r="3" spans="1:16" ht="22.8">
      <c r="A3" s="517" t="str">
        <f>'Demographic Profile'!B3</f>
        <v>SY 2025-2026</v>
      </c>
      <c r="B3" s="517"/>
      <c r="C3" s="517"/>
      <c r="D3" s="517"/>
      <c r="E3" s="517"/>
      <c r="F3" s="517"/>
      <c r="G3" s="517"/>
      <c r="H3" s="517"/>
      <c r="I3" s="517"/>
      <c r="J3" s="517"/>
      <c r="K3" s="517"/>
      <c r="L3" s="517"/>
      <c r="M3" s="517"/>
      <c r="N3" s="517"/>
      <c r="O3" s="517"/>
      <c r="P3" s="517"/>
    </row>
    <row r="4" spans="1:16" ht="25.05" customHeight="1">
      <c r="A4" s="149"/>
      <c r="B4" s="149"/>
      <c r="C4" s="149"/>
      <c r="D4" s="149"/>
      <c r="E4" s="149"/>
      <c r="F4" s="149"/>
      <c r="G4" s="149"/>
      <c r="H4" s="149"/>
      <c r="I4" s="149"/>
      <c r="J4" s="149"/>
      <c r="K4" s="149"/>
      <c r="L4" s="149"/>
      <c r="M4" s="149"/>
      <c r="N4" s="149"/>
      <c r="O4" s="149"/>
      <c r="P4" s="149"/>
    </row>
    <row r="5" spans="1:16" ht="33" customHeight="1">
      <c r="A5" s="149"/>
      <c r="B5" s="150" t="s">
        <v>1006</v>
      </c>
      <c r="C5" s="151"/>
      <c r="D5" s="151"/>
      <c r="E5" s="151"/>
      <c r="F5" s="151"/>
      <c r="G5" s="151"/>
      <c r="H5" s="151"/>
      <c r="I5" s="151"/>
      <c r="J5" s="151"/>
      <c r="K5" s="150" t="s">
        <v>1007</v>
      </c>
      <c r="L5" s="151"/>
      <c r="M5" s="151"/>
      <c r="N5" s="149"/>
      <c r="O5" s="149"/>
      <c r="P5" s="149"/>
    </row>
    <row r="6" spans="1:16" ht="12" customHeight="1" thickBot="1">
      <c r="B6" s="152"/>
      <c r="C6" s="153"/>
      <c r="D6" s="153"/>
      <c r="E6" s="153"/>
      <c r="F6" s="153"/>
      <c r="G6" s="153"/>
    </row>
    <row r="7" spans="1:16" ht="19.95" customHeight="1">
      <c r="B7" s="518" t="s">
        <v>931</v>
      </c>
      <c r="C7" s="519"/>
      <c r="D7" s="519"/>
      <c r="E7" s="519"/>
      <c r="F7" s="520" t="str">
        <f>'Demographic Profile'!F7</f>
        <v>VII - Central Visayas</v>
      </c>
      <c r="G7" s="520"/>
      <c r="H7" s="520"/>
      <c r="I7" s="520"/>
      <c r="J7" s="154"/>
      <c r="K7" s="521" t="s">
        <v>933</v>
      </c>
      <c r="L7" s="522"/>
      <c r="M7" s="522"/>
      <c r="N7" s="523" t="str">
        <f>'Demographic Profile'!demographics_lastname</f>
        <v>DEGOLLACION</v>
      </c>
      <c r="O7" s="524"/>
      <c r="P7" s="155"/>
    </row>
    <row r="8" spans="1:16" ht="19.95" customHeight="1">
      <c r="B8" s="525" t="s">
        <v>936</v>
      </c>
      <c r="C8" s="526"/>
      <c r="D8" s="526"/>
      <c r="E8" s="526"/>
      <c r="F8" s="527" t="str">
        <f>'Demographic Profile'!F8</f>
        <v xml:space="preserve">Lapu-Lapu City </v>
      </c>
      <c r="G8" s="527"/>
      <c r="H8" s="527"/>
      <c r="I8" s="527"/>
      <c r="J8" s="155"/>
      <c r="K8" s="528" t="s">
        <v>937</v>
      </c>
      <c r="L8" s="529"/>
      <c r="M8" s="529"/>
      <c r="N8" s="530" t="str">
        <f>'Demographic Profile'!demographics_firstname</f>
        <v>EJONIE</v>
      </c>
      <c r="O8" s="531"/>
      <c r="P8" s="155"/>
    </row>
    <row r="9" spans="1:16" ht="19.95" customHeight="1">
      <c r="B9" s="532" t="s">
        <v>1008</v>
      </c>
      <c r="C9" s="533"/>
      <c r="D9" s="533"/>
      <c r="E9" s="534"/>
      <c r="F9" s="527">
        <f>'Demographic Profile'!F9</f>
        <v>303172</v>
      </c>
      <c r="G9" s="527"/>
      <c r="H9" s="527"/>
      <c r="I9" s="527"/>
      <c r="J9" s="155"/>
      <c r="K9" s="528" t="s">
        <v>940</v>
      </c>
      <c r="L9" s="529"/>
      <c r="M9" s="529"/>
      <c r="N9" s="530" t="str">
        <f>'Demographic Profile'!demographics_middlename</f>
        <v>GUNOBGUNOB</v>
      </c>
      <c r="O9" s="531"/>
      <c r="P9" s="155"/>
    </row>
    <row r="10" spans="1:16" ht="19.95" customHeight="1">
      <c r="B10" s="532" t="s">
        <v>942</v>
      </c>
      <c r="C10" s="533"/>
      <c r="D10" s="533"/>
      <c r="E10" s="534"/>
      <c r="F10" s="535" t="str">
        <f>'Demographic Profile'!F10</f>
        <v>BABAG NATIONAL HIGH SCHOOL- SHS</v>
      </c>
      <c r="G10" s="527"/>
      <c r="H10" s="527"/>
      <c r="I10" s="527"/>
      <c r="J10" s="155"/>
      <c r="K10" s="536" t="s">
        <v>943</v>
      </c>
      <c r="L10" s="537"/>
      <c r="M10" s="537"/>
      <c r="N10" s="538">
        <f>'Demographic Profile'!N10</f>
        <v>6099109</v>
      </c>
      <c r="O10" s="539"/>
      <c r="P10" s="155"/>
    </row>
    <row r="11" spans="1:16" ht="19.95" customHeight="1">
      <c r="B11" s="532" t="s">
        <v>1009</v>
      </c>
      <c r="C11" s="533"/>
      <c r="D11" s="533"/>
      <c r="E11" s="534"/>
      <c r="F11" s="527" t="str">
        <f>'Demographic Profile'!F11</f>
        <v>Urban</v>
      </c>
      <c r="G11" s="527"/>
      <c r="H11" s="527"/>
      <c r="I11" s="527"/>
      <c r="J11" s="155"/>
      <c r="K11" s="536" t="s">
        <v>0</v>
      </c>
      <c r="L11" s="537"/>
      <c r="M11" s="537"/>
      <c r="N11" s="538" t="str">
        <f>'Demographic Profile'!demographics_position</f>
        <v>Teacher III</v>
      </c>
      <c r="O11" s="539"/>
      <c r="P11" s="155"/>
    </row>
    <row r="12" spans="1:16" ht="19.95" customHeight="1">
      <c r="B12" s="532" t="s">
        <v>1010</v>
      </c>
      <c r="C12" s="533"/>
      <c r="D12" s="533"/>
      <c r="E12" s="534"/>
      <c r="F12" s="527" t="str">
        <f>'Demographic Profile'!F12</f>
        <v>Very Large</v>
      </c>
      <c r="G12" s="527"/>
      <c r="H12" s="527"/>
      <c r="I12" s="527"/>
      <c r="J12" s="155"/>
      <c r="K12" s="541" t="s">
        <v>950</v>
      </c>
      <c r="L12" s="542"/>
      <c r="M12" s="543"/>
      <c r="N12" s="544" t="str">
        <f>'Demographic Profile'!demographics_empstatus</f>
        <v>Regular Permanent</v>
      </c>
      <c r="O12" s="545"/>
      <c r="P12" s="155"/>
    </row>
    <row r="13" spans="1:16" ht="19.95" customHeight="1" thickBot="1">
      <c r="B13" s="546" t="s">
        <v>953</v>
      </c>
      <c r="C13" s="547"/>
      <c r="D13" s="547"/>
      <c r="E13" s="548"/>
      <c r="F13" s="549" t="str">
        <f>'Demographic Profile'!F13</f>
        <v>Grade 7-10; Grade 11-12</v>
      </c>
      <c r="G13" s="549"/>
      <c r="H13" s="549"/>
      <c r="I13" s="549"/>
      <c r="J13" s="156"/>
      <c r="K13" s="550" t="s">
        <v>1011</v>
      </c>
      <c r="L13" s="551"/>
      <c r="M13" s="551"/>
      <c r="N13" s="552" t="str">
        <f>'Demographic Profile'!demographics_email</f>
        <v>ejonie.degollacion@deped.gov.ph</v>
      </c>
      <c r="O13" s="553"/>
    </row>
    <row r="14" spans="1:16" ht="19.95" customHeight="1">
      <c r="B14" s="157"/>
      <c r="C14" s="153"/>
      <c r="D14" s="153"/>
      <c r="G14" s="153"/>
    </row>
    <row r="15" spans="1:16" ht="18" customHeight="1">
      <c r="B15" s="158"/>
      <c r="C15" s="153"/>
      <c r="D15" s="153"/>
      <c r="E15" s="153"/>
      <c r="F15" s="153"/>
      <c r="G15" s="153"/>
    </row>
    <row r="16" spans="1:16" ht="30" customHeight="1">
      <c r="C16" s="159"/>
      <c r="G16" s="150" t="s">
        <v>1012</v>
      </c>
      <c r="H16" s="160"/>
      <c r="I16" s="160"/>
    </row>
    <row r="17" spans="5:15" ht="40.049999999999997" customHeight="1">
      <c r="G17" s="299" t="s">
        <v>1595</v>
      </c>
      <c r="H17" s="161"/>
      <c r="I17" s="162">
        <v>1</v>
      </c>
    </row>
    <row r="18" spans="5:15" ht="40.049999999999997" customHeight="1">
      <c r="G18" s="299" t="s">
        <v>1592</v>
      </c>
      <c r="H18" s="161"/>
      <c r="I18" s="162">
        <v>1</v>
      </c>
      <c r="O18" s="163"/>
    </row>
    <row r="19" spans="5:15" ht="40.049999999999997" customHeight="1">
      <c r="G19" s="299" t="s">
        <v>1593</v>
      </c>
      <c r="H19" s="161"/>
      <c r="I19" s="162">
        <f>I18</f>
        <v>1</v>
      </c>
      <c r="K19" s="540" t="s">
        <v>1598</v>
      </c>
      <c r="L19" s="540"/>
      <c r="M19" s="540"/>
      <c r="N19" s="540"/>
      <c r="O19" s="540"/>
    </row>
    <row r="20" spans="5:15" ht="40.049999999999997" customHeight="1">
      <c r="G20" s="299" t="s">
        <v>1594</v>
      </c>
      <c r="H20" s="161"/>
      <c r="I20" s="162">
        <v>1</v>
      </c>
    </row>
    <row r="24" spans="5:15" ht="15.45" customHeight="1">
      <c r="E24" s="164"/>
    </row>
    <row r="25" spans="5:15" ht="15.45" customHeight="1">
      <c r="E25" s="164"/>
    </row>
    <row r="26" spans="5:15" ht="15.45" customHeight="1">
      <c r="E26" s="164"/>
    </row>
    <row r="27" spans="5:15" ht="15.45" customHeight="1">
      <c r="E27" s="164"/>
    </row>
    <row r="28" spans="5:15" ht="15.45" customHeight="1">
      <c r="E28" s="164"/>
    </row>
    <row r="29" spans="5:15" ht="15.45" customHeight="1">
      <c r="E29" s="164"/>
    </row>
    <row r="30" spans="5:15" ht="15.45" customHeight="1">
      <c r="E30" s="164"/>
    </row>
    <row r="31" spans="5:15" ht="15.45" customHeight="1">
      <c r="E31" s="164"/>
    </row>
    <row r="32" spans="5:15" ht="15.45" customHeight="1">
      <c r="E32" s="164"/>
    </row>
    <row r="33" spans="5:5" ht="15.45" customHeight="1">
      <c r="E33" s="164"/>
    </row>
    <row r="34" spans="5:5" ht="15.45" customHeight="1">
      <c r="E34" s="164"/>
    </row>
    <row r="35" spans="5:5" ht="15.45" customHeight="1">
      <c r="E35" s="164"/>
    </row>
    <row r="36" spans="5:5" ht="15.45" customHeight="1">
      <c r="E36" s="164"/>
    </row>
  </sheetData>
  <sheetProtection algorithmName="SHA-512" hashValue="j5APTtxw5VknNfr+VxxRIUMv3Qkk4QLP55GPf8d++qbyIM7PFeaD+1V5JehngyQTdhzBjMcDMwpFqqTzwP5yow==" saltValue="q3bO7GEkYJ3tRz9iwEgTKw==" spinCount="100000" sheet="1" objects="1" scenarios="1"/>
  <mergeCells count="32">
    <mergeCell ref="K19:O19"/>
    <mergeCell ref="B12:E12"/>
    <mergeCell ref="F12:I12"/>
    <mergeCell ref="K12:M12"/>
    <mergeCell ref="N12:O12"/>
    <mergeCell ref="B13:E13"/>
    <mergeCell ref="F13:I13"/>
    <mergeCell ref="K13:M13"/>
    <mergeCell ref="N13:O13"/>
    <mergeCell ref="B10:E10"/>
    <mergeCell ref="F10:I10"/>
    <mergeCell ref="K10:M10"/>
    <mergeCell ref="N10:O10"/>
    <mergeCell ref="B11:E11"/>
    <mergeCell ref="F11:I11"/>
    <mergeCell ref="K11:M11"/>
    <mergeCell ref="N11:O11"/>
    <mergeCell ref="B8:E8"/>
    <mergeCell ref="F8:I8"/>
    <mergeCell ref="K8:M8"/>
    <mergeCell ref="N8:O8"/>
    <mergeCell ref="B9:E9"/>
    <mergeCell ref="F9:I9"/>
    <mergeCell ref="K9:M9"/>
    <mergeCell ref="N9:O9"/>
    <mergeCell ref="A1:P1"/>
    <mergeCell ref="A2:P2"/>
    <mergeCell ref="A3:P3"/>
    <mergeCell ref="B7:E7"/>
    <mergeCell ref="F7:I7"/>
    <mergeCell ref="K7:M7"/>
    <mergeCell ref="N7:O7"/>
  </mergeCells>
  <conditionalFormatting sqref="A1:XFD7 A8:K9 N8:N9 P8:XFD9 A10:XFD18 A20:XFD1048576 A19:K19 P19:XFD19">
    <cfRule type="expression" dxfId="73" priority="2">
      <formula>career_stage="HP"</formula>
    </cfRule>
    <cfRule type="expression" dxfId="72" priority="3">
      <formula>career_stage="P"</formula>
    </cfRule>
  </conditionalFormatting>
  <conditionalFormatting sqref="I17:I20">
    <cfRule type="iconSet" priority="1">
      <iconSet iconSet="3Symbols2" showValue="0">
        <cfvo type="percent" val="0"/>
        <cfvo type="num" val="0" gte="0"/>
        <cfvo type="num" val="1"/>
      </iconSet>
    </cfRule>
  </conditionalFormatting>
  <pageMargins left="0.7" right="0.7" top="0.75" bottom="0.75" header="0.3" footer="0.3"/>
  <pageSetup scale="87" orientation="landscape"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elembox_0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26" r:id="rId5" name="elembox_02">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27" r:id="rId6" name="elembox_03">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28" r:id="rId7" name="elembox_04">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29" r:id="rId8" name="elembox_05">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30" r:id="rId9" name="elembox_06">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1" r:id="rId10" name="elembox_07">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2" r:id="rId11" name="elembox_08">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3" r:id="rId12" name="elembox_09">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4" r:id="rId13" name="jhsbox_0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35" r:id="rId14" name="jhsbox_02">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36" r:id="rId15" name="jhsbox_03">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37" r:id="rId16" name="jhsbox_04">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8" r:id="rId17" name="jhsbox_05">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39" r:id="rId18" name="jhsbox_06">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40" r:id="rId19" name="shsbox_0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1" r:id="rId20" name="shsbox_02">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2" r:id="rId21" name="shsbox_03">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43" r:id="rId22" name="subjectsbox_0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4" r:id="rId23" name="subjectsbox_02">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5" r:id="rId24" name="subjectsbox_03">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6" r:id="rId25" name="subjectsbox_04">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7" r:id="rId26" name="subjectsbox_05">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8" r:id="rId27" name="subjectsbox_06">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49" r:id="rId28" name="subjectsbox_07">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50" r:id="rId29" name="subjectsbox_08">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51" r:id="rId30" name="subjectsbox_09">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52" r:id="rId31" name="subjectsbox_10">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53" r:id="rId32" name="subjectsbox_1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54" r:id="rId33" name="subjectsbox_12">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55" r:id="rId34" name="subjectsbox_13">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56" r:id="rId35" name="subjectsbox_14">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57" r:id="rId36" name="subjectsbox_15">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58" r:id="rId37" name="subjectsbox_16">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59" r:id="rId38" name="subjectsbox_17">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60" r:id="rId39" name="subjectsbox_18">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61" r:id="rId40" name="subjectsbox_19">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62" r:id="rId41" name="subjectsbox_20">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63" r:id="rId42" name="strandsbox_01">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4" r:id="rId43" name="strandsbox_02">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5" r:id="rId44" name="strandsbox_03">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6" r:id="rId45" name="strandsbox_04">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7" r:id="rId46" name="strandsbox_05">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8" r:id="rId47" name="strandsbox_06">
              <controlPr defaultSize="0" autoFill="0" autoLine="0" autoPict="0">
                <anchor moveWithCells="1">
                  <from>
                    <xdr:col>7</xdr:col>
                    <xdr:colOff>22860</xdr:colOff>
                    <xdr:row>15</xdr:row>
                    <xdr:rowOff>0</xdr:rowOff>
                  </from>
                  <to>
                    <xdr:col>9</xdr:col>
                    <xdr:colOff>0</xdr:colOff>
                    <xdr:row>15</xdr:row>
                    <xdr:rowOff>228600</xdr:rowOff>
                  </to>
                </anchor>
              </controlPr>
            </control>
          </mc:Choice>
        </mc:AlternateContent>
        <mc:AlternateContent xmlns:mc="http://schemas.openxmlformats.org/markup-compatibility/2006">
          <mc:Choice Requires="x14">
            <control shapeId="26669" r:id="rId48" name="strandsbox_07">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0" r:id="rId49" name="strandsbox_08">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1" r:id="rId50" name="strandsbox_09">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2" r:id="rId51" name="strandsbox_10">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3" r:id="rId52" name="strandsbox_11">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4" r:id="rId53" name="strandsbox_12">
              <controlPr defaultSize="0" autoFill="0" autoLine="0" autoPict="0">
                <anchor moveWithCells="1">
                  <from>
                    <xdr:col>13</xdr:col>
                    <xdr:colOff>22860</xdr:colOff>
                    <xdr:row>15</xdr:row>
                    <xdr:rowOff>0</xdr:rowOff>
                  </from>
                  <to>
                    <xdr:col>14</xdr:col>
                    <xdr:colOff>1089660</xdr:colOff>
                    <xdr:row>15</xdr:row>
                    <xdr:rowOff>228600</xdr:rowOff>
                  </to>
                </anchor>
              </controlPr>
            </control>
          </mc:Choice>
        </mc:AlternateContent>
        <mc:AlternateContent xmlns:mc="http://schemas.openxmlformats.org/markup-compatibility/2006">
          <mc:Choice Requires="x14">
            <control shapeId="26675" r:id="rId54" name="Button 51">
              <controlPr defaultSize="0" print="0" autoFill="0" autoPict="0" macro="[0]!callLogin">
                <anchor moveWithCells="1" sizeWithCells="1">
                  <from>
                    <xdr:col>10</xdr:col>
                    <xdr:colOff>7620</xdr:colOff>
                    <xdr:row>16</xdr:row>
                    <xdr:rowOff>327660</xdr:rowOff>
                  </from>
                  <to>
                    <xdr:col>13</xdr:col>
                    <xdr:colOff>144780</xdr:colOff>
                    <xdr:row>17</xdr:row>
                    <xdr:rowOff>480060</xdr:rowOff>
                  </to>
                </anchor>
              </controlPr>
            </control>
          </mc:Choice>
        </mc:AlternateContent>
        <mc:AlternateContent xmlns:mc="http://schemas.openxmlformats.org/markup-compatibility/2006">
          <mc:Choice Requires="x14">
            <control shapeId="26676" r:id="rId55" name="Button 52">
              <controlPr defaultSize="0" print="0" autoFill="0" autoPict="0" macro="[0]!callLogin">
                <anchor moveWithCells="1" sizeWithCells="1">
                  <from>
                    <xdr:col>2</xdr:col>
                    <xdr:colOff>381000</xdr:colOff>
                    <xdr:row>16</xdr:row>
                    <xdr:rowOff>327660</xdr:rowOff>
                  </from>
                  <to>
                    <xdr:col>5</xdr:col>
                    <xdr:colOff>0</xdr:colOff>
                    <xdr:row>17</xdr:row>
                    <xdr:rowOff>495300</xdr:rowOff>
                  </to>
                </anchor>
              </controlPr>
            </control>
          </mc:Choice>
        </mc:AlternateContent>
        <mc:AlternateContent xmlns:mc="http://schemas.openxmlformats.org/markup-compatibility/2006">
          <mc:Choice Requires="x14">
            <control shapeId="26677" r:id="rId56" name="Button 53">
              <controlPr defaultSize="0" print="0" autoFill="0" autoPict="0" macro="[0]!callLogin">
                <anchor moveWithCells="1" sizeWithCells="1">
                  <from>
                    <xdr:col>14</xdr:col>
                    <xdr:colOff>662940</xdr:colOff>
                    <xdr:row>16</xdr:row>
                    <xdr:rowOff>327660</xdr:rowOff>
                  </from>
                  <to>
                    <xdr:col>15</xdr:col>
                    <xdr:colOff>0</xdr:colOff>
                    <xdr:row>17</xdr:row>
                    <xdr:rowOff>480060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D05A1-E5F3-467D-9D48-EB2B639D92E0}">
  <sheetPr codeName="Sheet16">
    <tabColor theme="7" tint="0.59999389629810485"/>
  </sheetPr>
  <dimension ref="A1:N999"/>
  <sheetViews>
    <sheetView showGridLines="0" showRowColHeaders="0" zoomScale="70" zoomScaleNormal="70" workbookViewId="0">
      <selection activeCell="E17" sqref="E17:I17"/>
    </sheetView>
  </sheetViews>
  <sheetFormatPr defaultColWidth="15.88671875" defaultRowHeight="15" customHeight="1"/>
  <cols>
    <col min="1" max="26" width="12.5546875" style="14" customWidth="1"/>
    <col min="27" max="16384" width="15.88671875" style="14"/>
  </cols>
  <sheetData>
    <row r="1" spans="1:14" ht="78" customHeight="1" thickBot="1">
      <c r="A1" s="554" t="s">
        <v>1255</v>
      </c>
      <c r="B1" s="555"/>
      <c r="C1" s="555"/>
      <c r="D1" s="555"/>
      <c r="E1" s="555"/>
      <c r="F1" s="555"/>
      <c r="G1" s="555"/>
      <c r="H1" s="555"/>
      <c r="I1" s="555"/>
      <c r="J1" s="555"/>
      <c r="K1" s="555"/>
      <c r="L1" s="555"/>
      <c r="M1" s="555"/>
      <c r="N1" s="555"/>
    </row>
    <row r="2" spans="1:14" ht="15" customHeight="1" thickTop="1">
      <c r="B2" s="467"/>
      <c r="C2" s="468"/>
      <c r="D2" s="468"/>
      <c r="E2" s="468"/>
      <c r="F2" s="468"/>
      <c r="G2" s="468"/>
      <c r="H2" s="468"/>
      <c r="I2" s="468"/>
      <c r="J2" s="468"/>
      <c r="K2" s="468"/>
      <c r="L2" s="468"/>
      <c r="M2" s="469"/>
    </row>
    <row r="3" spans="1:14" ht="15" customHeight="1">
      <c r="B3" s="470"/>
      <c r="C3" s="471"/>
      <c r="D3" s="471"/>
      <c r="E3" s="471"/>
      <c r="F3" s="471"/>
      <c r="G3" s="471"/>
      <c r="H3" s="471"/>
      <c r="I3" s="471"/>
      <c r="J3" s="471"/>
      <c r="K3" s="471"/>
      <c r="L3" s="471"/>
      <c r="M3" s="472"/>
    </row>
    <row r="4" spans="1:14" ht="15" customHeight="1">
      <c r="B4" s="473"/>
      <c r="C4" s="471"/>
      <c r="D4" s="471"/>
      <c r="E4" s="471"/>
      <c r="F4" s="471"/>
      <c r="G4" s="471"/>
      <c r="H4" s="471"/>
      <c r="I4" s="471"/>
      <c r="J4" s="471"/>
      <c r="K4" s="471"/>
      <c r="L4" s="471"/>
      <c r="M4" s="472"/>
    </row>
    <row r="5" spans="1:14" ht="15" customHeight="1">
      <c r="B5" s="473"/>
      <c r="C5" s="471"/>
      <c r="D5" s="471"/>
      <c r="E5" s="471"/>
      <c r="F5" s="471"/>
      <c r="G5" s="471"/>
      <c r="H5" s="471"/>
      <c r="I5" s="471"/>
      <c r="J5" s="471"/>
      <c r="K5" s="471"/>
      <c r="L5" s="471"/>
      <c r="M5" s="472"/>
    </row>
    <row r="6" spans="1:14" ht="15" customHeight="1">
      <c r="B6" s="473"/>
      <c r="C6" s="471"/>
      <c r="D6" s="471"/>
      <c r="E6" s="471"/>
      <c r="F6" s="471"/>
      <c r="G6" s="471"/>
      <c r="H6" s="471"/>
      <c r="I6" s="471"/>
      <c r="J6" s="471"/>
      <c r="K6" s="471"/>
      <c r="L6" s="471"/>
      <c r="M6" s="472"/>
    </row>
    <row r="7" spans="1:14" ht="15" customHeight="1">
      <c r="B7" s="473"/>
      <c r="C7" s="471"/>
      <c r="D7" s="471"/>
      <c r="E7" s="471"/>
      <c r="F7" s="471"/>
      <c r="G7" s="471"/>
      <c r="H7" s="471"/>
      <c r="I7" s="471"/>
      <c r="J7" s="471"/>
      <c r="K7" s="471"/>
      <c r="L7" s="471"/>
      <c r="M7" s="472"/>
    </row>
    <row r="8" spans="1:14" ht="15" customHeight="1">
      <c r="B8" s="473"/>
      <c r="C8" s="471"/>
      <c r="D8" s="471"/>
      <c r="E8" s="471"/>
      <c r="F8" s="471"/>
      <c r="G8" s="471"/>
      <c r="H8" s="471"/>
      <c r="I8" s="471"/>
      <c r="J8" s="471"/>
      <c r="K8" s="471"/>
      <c r="L8" s="471"/>
      <c r="M8" s="472"/>
    </row>
    <row r="9" spans="1:14" ht="15" customHeight="1">
      <c r="B9" s="473"/>
      <c r="C9" s="471"/>
      <c r="D9" s="471"/>
      <c r="E9" s="471"/>
      <c r="F9" s="471"/>
      <c r="G9" s="471"/>
      <c r="H9" s="471"/>
      <c r="I9" s="471"/>
      <c r="J9" s="471"/>
      <c r="K9" s="471"/>
      <c r="L9" s="471"/>
      <c r="M9" s="472"/>
    </row>
    <row r="10" spans="1:14" ht="15" customHeight="1">
      <c r="B10" s="473"/>
      <c r="C10" s="471"/>
      <c r="D10" s="471"/>
      <c r="E10" s="471"/>
      <c r="F10" s="471"/>
      <c r="G10" s="471"/>
      <c r="H10" s="471"/>
      <c r="I10" s="471"/>
      <c r="J10" s="471"/>
      <c r="K10" s="471"/>
      <c r="L10" s="471"/>
      <c r="M10" s="472"/>
    </row>
    <row r="11" spans="1:14" ht="8.5500000000000007" customHeight="1">
      <c r="B11" s="473"/>
      <c r="C11" s="471"/>
      <c r="D11" s="471"/>
      <c r="E11" s="471"/>
      <c r="F11" s="471"/>
      <c r="G11" s="471"/>
      <c r="H11" s="471"/>
      <c r="I11" s="471"/>
      <c r="J11" s="471"/>
      <c r="K11" s="471"/>
      <c r="L11" s="471"/>
      <c r="M11" s="472"/>
    </row>
    <row r="12" spans="1:14" ht="15" hidden="1" customHeight="1">
      <c r="B12" s="473"/>
      <c r="C12" s="471"/>
      <c r="D12" s="471"/>
      <c r="E12" s="471"/>
      <c r="F12" s="471"/>
      <c r="G12" s="471"/>
      <c r="H12" s="471"/>
      <c r="I12" s="471"/>
      <c r="J12" s="471"/>
      <c r="K12" s="471"/>
      <c r="L12" s="471"/>
      <c r="M12" s="472"/>
    </row>
    <row r="13" spans="1:14" ht="15" customHeight="1">
      <c r="B13" s="473"/>
      <c r="C13" s="471"/>
      <c r="D13" s="471"/>
      <c r="E13" s="471"/>
      <c r="F13" s="471"/>
      <c r="G13" s="471"/>
      <c r="H13" s="471"/>
      <c r="I13" s="471"/>
      <c r="J13" s="471"/>
      <c r="K13" s="471"/>
      <c r="L13" s="471"/>
      <c r="M13" s="472"/>
    </row>
    <row r="14" spans="1:14" ht="15" customHeight="1">
      <c r="B14" s="473"/>
      <c r="C14" s="471"/>
      <c r="D14" s="474"/>
      <c r="E14" s="471"/>
      <c r="F14" s="471"/>
      <c r="G14" s="471"/>
      <c r="H14" s="471"/>
      <c r="I14" s="471"/>
      <c r="J14" s="471"/>
      <c r="K14" s="471"/>
      <c r="L14" s="471"/>
      <c r="M14" s="472"/>
    </row>
    <row r="15" spans="1:14" ht="27" customHeight="1">
      <c r="B15" s="473"/>
      <c r="C15" s="474"/>
      <c r="D15" s="474" t="s">
        <v>1493</v>
      </c>
      <c r="E15" s="559" t="s">
        <v>1384</v>
      </c>
      <c r="F15" s="560"/>
      <c r="G15" s="560"/>
      <c r="H15" s="560"/>
      <c r="I15" s="561"/>
      <c r="J15" s="471"/>
      <c r="K15" s="471"/>
      <c r="L15" s="471"/>
      <c r="M15" s="472"/>
    </row>
    <row r="16" spans="1:14" ht="13.95" customHeight="1">
      <c r="B16" s="473"/>
      <c r="C16" s="471"/>
      <c r="D16" s="471"/>
      <c r="E16" s="471"/>
      <c r="F16" s="471"/>
      <c r="G16" s="471"/>
      <c r="H16" s="471"/>
      <c r="I16" s="471"/>
      <c r="J16" s="471"/>
      <c r="K16" s="471"/>
      <c r="L16" s="471"/>
      <c r="M16" s="472"/>
    </row>
    <row r="17" spans="2:13" s="15" customFormat="1" ht="27" customHeight="1">
      <c r="B17" s="475"/>
      <c r="C17" s="476"/>
      <c r="D17" s="474" t="s">
        <v>127</v>
      </c>
      <c r="E17" s="556" t="s">
        <v>798</v>
      </c>
      <c r="F17" s="557"/>
      <c r="G17" s="557"/>
      <c r="H17" s="557"/>
      <c r="I17" s="558"/>
      <c r="J17" s="476"/>
      <c r="K17" s="476"/>
      <c r="L17" s="476"/>
      <c r="M17" s="477"/>
    </row>
    <row r="18" spans="2:13" ht="15" customHeight="1">
      <c r="B18" s="473"/>
      <c r="C18" s="471"/>
      <c r="D18" s="471"/>
      <c r="E18" s="471"/>
      <c r="F18" s="471"/>
      <c r="G18" s="471"/>
      <c r="H18" s="471"/>
      <c r="I18" s="471"/>
      <c r="J18" s="471"/>
      <c r="K18" s="471"/>
      <c r="L18" s="471"/>
      <c r="M18" s="472"/>
    </row>
    <row r="19" spans="2:13" ht="15" customHeight="1">
      <c r="B19" s="473"/>
      <c r="C19" s="471"/>
      <c r="D19" s="471"/>
      <c r="E19" s="471"/>
      <c r="F19" s="471"/>
      <c r="G19" s="471"/>
      <c r="H19" s="471"/>
      <c r="I19" s="471"/>
      <c r="J19" s="471"/>
      <c r="K19" s="471"/>
      <c r="L19" s="471"/>
      <c r="M19" s="472"/>
    </row>
    <row r="20" spans="2:13" ht="15.75" customHeight="1">
      <c r="B20" s="478"/>
      <c r="C20" s="479"/>
      <c r="D20" s="479"/>
      <c r="E20" s="479"/>
      <c r="F20" s="471"/>
      <c r="G20" s="471"/>
      <c r="H20" s="471"/>
      <c r="I20" s="471"/>
      <c r="J20" s="471"/>
      <c r="K20" s="471"/>
      <c r="L20" s="471"/>
      <c r="M20" s="472"/>
    </row>
    <row r="21" spans="2:13" ht="15.75" customHeight="1" thickBot="1">
      <c r="B21" s="480"/>
      <c r="C21" s="481"/>
      <c r="D21" s="481"/>
      <c r="E21" s="481"/>
      <c r="F21" s="482"/>
      <c r="G21" s="482"/>
      <c r="H21" s="482"/>
      <c r="I21" s="482"/>
      <c r="J21" s="482"/>
      <c r="K21" s="482"/>
      <c r="L21" s="482"/>
      <c r="M21" s="483"/>
    </row>
    <row r="22" spans="2:13" ht="15.75" customHeight="1" thickTop="1">
      <c r="C22" s="16"/>
      <c r="D22" s="16"/>
      <c r="E22" s="16"/>
    </row>
    <row r="23" spans="2:13" ht="15.75" customHeight="1">
      <c r="C23" s="16"/>
      <c r="D23" s="16"/>
      <c r="E23" s="16"/>
    </row>
    <row r="24" spans="2:13" ht="15.75" customHeight="1">
      <c r="C24" s="16"/>
      <c r="D24" s="16"/>
      <c r="E24" s="16"/>
    </row>
    <row r="25" spans="2:13" ht="15.75" customHeight="1">
      <c r="C25" s="16"/>
      <c r="D25" s="16"/>
      <c r="E25" s="16"/>
    </row>
    <row r="26" spans="2:13" ht="15.75" customHeight="1">
      <c r="C26" s="16"/>
      <c r="D26" s="16"/>
      <c r="E26" s="16"/>
    </row>
    <row r="27" spans="2:13" ht="15.75" customHeight="1"/>
    <row r="28" spans="2:13" ht="15.75" customHeight="1"/>
    <row r="29" spans="2:13" ht="15.75" customHeight="1"/>
    <row r="30" spans="2:13" ht="15.75" customHeight="1"/>
    <row r="31" spans="2:13" ht="15.75" customHeight="1"/>
    <row r="32" spans="2:13"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sheetProtection algorithmName="SHA-512" hashValue="UT+RBU/2gbcL70fWPi9of3yWdLH6t5BZCP8JcqsnsiWJsFfMKn2ikQB2uOktT/EcWYZLfdQWSWi/DJellmrrBQ==" saltValue="XFzDDKUo0VtrzlEOJ9FQSQ==" spinCount="100000" sheet="1" objects="1" scenarios="1" selectLockedCells="1"/>
  <mergeCells count="3">
    <mergeCell ref="A1:N1"/>
    <mergeCell ref="E17:I17"/>
    <mergeCell ref="E15:I15"/>
  </mergeCells>
  <conditionalFormatting sqref="B2:M21">
    <cfRule type="expression" dxfId="71" priority="3">
      <formula>selected_career_stage="Distinguished"</formula>
    </cfRule>
    <cfRule type="expression" dxfId="70" priority="4">
      <formula>selected_career_stage="Highly Proficient"</formula>
    </cfRule>
  </conditionalFormatting>
  <conditionalFormatting sqref="E15:I15 E17:I17">
    <cfRule type="expression" dxfId="69" priority="1">
      <formula>TRUE</formula>
    </cfRule>
  </conditionalFormatting>
  <dataValidations count="2">
    <dataValidation type="list" allowBlank="1" showInputMessage="1" showErrorMessage="1" sqref="E17" xr:uid="{832E8B9A-17DC-4750-BEC4-E831154F2AD1}">
      <formula1>competency_level</formula1>
    </dataValidation>
    <dataValidation type="list" allowBlank="1" showInputMessage="1" showErrorMessage="1" sqref="E15" xr:uid="{80D52DC5-8219-4338-810B-50EDDC25D66D}">
      <formula1>"2025-2026"</formula1>
    </dataValidation>
  </dataValidations>
  <hyperlinks>
    <hyperlink ref="B23" r:id="rId1" display="christineanne.prepuse@deped.gov.ph" xr:uid="{D37A2CFB-CD3A-4A69-AECB-23F300864807}"/>
  </hyperlinks>
  <pageMargins left="0.70866141732283472" right="0.70866141732283472" top="0.74803149606299213" bottom="0.74803149606299213" header="0" footer="0"/>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autoFill="0" autoPict="0" macro="[0]!nextPage">
                <anchor moveWithCells="1" sizeWithCells="1">
                  <from>
                    <xdr:col>10</xdr:col>
                    <xdr:colOff>198120</xdr:colOff>
                    <xdr:row>16</xdr:row>
                    <xdr:rowOff>297180</xdr:rowOff>
                  </from>
                  <to>
                    <xdr:col>12</xdr:col>
                    <xdr:colOff>495300</xdr:colOff>
                    <xdr:row>20</xdr:row>
                    <xdr:rowOff>15240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FF5AC-7E82-41BC-8B23-46C6276D8854}">
  <sheetPr codeName="Sheet13">
    <tabColor theme="7" tint="0.59999389629810485"/>
  </sheetPr>
  <dimension ref="A1:N998"/>
  <sheetViews>
    <sheetView showGridLines="0" showRowColHeaders="0" zoomScale="80" zoomScaleNormal="80" workbookViewId="0">
      <selection activeCell="C5" sqref="C5"/>
    </sheetView>
  </sheetViews>
  <sheetFormatPr defaultColWidth="15.88671875" defaultRowHeight="15" customHeight="1"/>
  <cols>
    <col min="1" max="26" width="12.5546875" style="14" customWidth="1"/>
    <col min="27" max="16384" width="15.88671875" style="14"/>
  </cols>
  <sheetData>
    <row r="1" spans="1:14" ht="70.05" customHeight="1">
      <c r="A1" s="562" t="str">
        <f>HOME!A1</f>
        <v>OFFICIAL ELECTRONIC IPCRF TOOL
 SY 2025-2026</v>
      </c>
      <c r="B1" s="562"/>
      <c r="C1" s="562"/>
      <c r="D1" s="562"/>
      <c r="E1" s="562"/>
      <c r="F1" s="562"/>
      <c r="G1" s="562"/>
      <c r="H1" s="562"/>
      <c r="I1" s="562"/>
      <c r="J1" s="562"/>
      <c r="K1" s="562"/>
      <c r="L1" s="562"/>
      <c r="M1" s="17"/>
      <c r="N1" s="17"/>
    </row>
    <row r="2" spans="1:14" ht="14.4"/>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sheetProtection algorithmName="SHA-512" hashValue="t0F3GAKeqbZFqL4pfM1qj3EshN3SdUYYmFsALVdsSixO/C8qswcjMR8L3TTRQgnrTR4WkY581IZVIjg8Reiocg==" saltValue="QPRlyHcLGPNHIOEe/bd21w==" spinCount="100000" sheet="1" objects="1" scenarios="1" selectLockedCells="1"/>
  <mergeCells count="1">
    <mergeCell ref="A1:L1"/>
  </mergeCells>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ackToHome">
              <controlPr defaultSize="0" print="0" autoFill="0" autoPict="0" macro="[0]!prevPage">
                <anchor moveWithCells="1" sizeWithCells="1">
                  <from>
                    <xdr:col>3</xdr:col>
                    <xdr:colOff>358140</xdr:colOff>
                    <xdr:row>14</xdr:row>
                    <xdr:rowOff>83820</xdr:rowOff>
                  </from>
                  <to>
                    <xdr:col>5</xdr:col>
                    <xdr:colOff>685800</xdr:colOff>
                    <xdr:row>17</xdr:row>
                    <xdr:rowOff>175260</xdr:rowOff>
                  </to>
                </anchor>
              </controlPr>
            </control>
          </mc:Choice>
        </mc:AlternateContent>
        <mc:AlternateContent xmlns:mc="http://schemas.openxmlformats.org/markup-compatibility/2006">
          <mc:Choice Requires="x14">
            <control shapeId="24578" r:id="rId4" name="Button 2">
              <controlPr defaultSize="0" print="0" autoFill="0" autoPict="0" macro="[0]!nextPage">
                <anchor moveWithCells="1" sizeWithCells="1">
                  <from>
                    <xdr:col>6</xdr:col>
                    <xdr:colOff>754380</xdr:colOff>
                    <xdr:row>14</xdr:row>
                    <xdr:rowOff>91440</xdr:rowOff>
                  </from>
                  <to>
                    <xdr:col>9</xdr:col>
                    <xdr:colOff>289560</xdr:colOff>
                    <xdr:row>17</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0845-9BDB-4841-AE21-7DED4F1C1DE5}">
  <sheetPr codeName="Demographic_Profile1">
    <pageSetUpPr fitToPage="1"/>
  </sheetPr>
  <dimension ref="A1:X154"/>
  <sheetViews>
    <sheetView showGridLines="0" showRowColHeaders="0" topLeftCell="D43" zoomScale="98" zoomScaleNormal="98" workbookViewId="0">
      <selection activeCell="O47" sqref="O47"/>
    </sheetView>
  </sheetViews>
  <sheetFormatPr defaultColWidth="9.6640625" defaultRowHeight="15.45" customHeight="1"/>
  <cols>
    <col min="1" max="1" width="3.33203125" style="20" customWidth="1"/>
    <col min="2" max="2" width="3.77734375" style="20" customWidth="1"/>
    <col min="3" max="3" width="9.6640625" style="20" customWidth="1"/>
    <col min="4" max="4" width="4" style="20" customWidth="1"/>
    <col min="5" max="5" width="17.21875" style="20" customWidth="1"/>
    <col min="6" max="6" width="8.5546875" style="20" customWidth="1"/>
    <col min="7" max="7" width="20.21875" style="20" customWidth="1"/>
    <col min="8" max="8" width="4.21875" style="20" customWidth="1"/>
    <col min="9" max="9" width="15.88671875" style="20" customWidth="1"/>
    <col min="10" max="10" width="3.44140625" style="20" customWidth="1"/>
    <col min="11" max="11" width="6.44140625" style="20" customWidth="1"/>
    <col min="12" max="12" width="7" style="20" customWidth="1"/>
    <col min="13" max="13" width="9.88671875" style="20" customWidth="1"/>
    <col min="14" max="14" width="4.21875" style="20" customWidth="1"/>
    <col min="15" max="15" width="35.88671875" style="20" customWidth="1"/>
    <col min="16" max="16" width="3.6640625" style="20" customWidth="1"/>
    <col min="17" max="17" width="35" style="20" customWidth="1"/>
    <col min="18" max="18" width="31.88671875" style="20" customWidth="1"/>
    <col min="19" max="19" width="3.44140625" style="20" customWidth="1"/>
    <col min="20" max="20" width="9.6640625" style="20" customWidth="1"/>
    <col min="21" max="21" width="4.5546875" style="20" hidden="1" customWidth="1"/>
    <col min="22" max="22" width="8.5546875" style="20" hidden="1" customWidth="1"/>
    <col min="23" max="23" width="20.44140625" style="20" hidden="1" customWidth="1"/>
    <col min="24" max="24" width="7.109375" style="20" hidden="1" customWidth="1"/>
    <col min="25" max="25" width="9.6640625" style="20"/>
    <col min="26" max="26" width="5.88671875" style="20" customWidth="1"/>
    <col min="27" max="27" width="0.21875" style="20" customWidth="1"/>
    <col min="28" max="28" width="9.6640625" style="20" customWidth="1"/>
    <col min="29" max="16384" width="9.6640625" style="20"/>
  </cols>
  <sheetData>
    <row r="1" spans="1:24" s="19" customFormat="1" ht="31.2" customHeight="1">
      <c r="A1" s="18"/>
      <c r="B1" s="563" t="str">
        <f>HOME!A1</f>
        <v>OFFICIAL ELECTRONIC IPCRF TOOL
 SY 2025-2026</v>
      </c>
      <c r="C1" s="563"/>
      <c r="D1" s="563"/>
      <c r="E1" s="563"/>
      <c r="F1" s="563"/>
      <c r="G1" s="563"/>
      <c r="H1" s="563"/>
      <c r="I1" s="563"/>
      <c r="J1" s="563"/>
      <c r="K1" s="563"/>
      <c r="L1" s="563"/>
      <c r="M1" s="563"/>
      <c r="N1" s="563"/>
      <c r="O1" s="563"/>
      <c r="P1" s="563"/>
      <c r="Q1" s="563"/>
      <c r="R1" s="563"/>
      <c r="S1" s="563"/>
      <c r="U1" s="20"/>
      <c r="V1" s="20"/>
    </row>
    <row r="2" spans="1:24" s="19" customFormat="1" ht="31.2">
      <c r="A2" s="21"/>
      <c r="B2" s="563" t="str">
        <f>HOME!E17&amp;" Teacher"</f>
        <v>Beginning towards Proficient Teacher</v>
      </c>
      <c r="C2" s="563"/>
      <c r="D2" s="563"/>
      <c r="E2" s="563"/>
      <c r="F2" s="563"/>
      <c r="G2" s="563"/>
      <c r="H2" s="563"/>
      <c r="I2" s="563"/>
      <c r="J2" s="563"/>
      <c r="K2" s="563"/>
      <c r="L2" s="563"/>
      <c r="M2" s="563"/>
      <c r="N2" s="563"/>
      <c r="O2" s="563"/>
      <c r="P2" s="563"/>
      <c r="Q2" s="563"/>
      <c r="R2" s="563"/>
      <c r="S2" s="563"/>
      <c r="U2" s="20" t="s">
        <v>924</v>
      </c>
      <c r="V2" s="20"/>
      <c r="X2" s="20" t="s">
        <v>175</v>
      </c>
    </row>
    <row r="3" spans="1:24" ht="22.8">
      <c r="A3" s="22"/>
      <c r="B3" s="564" t="str">
        <f>"SY"&amp;" "&amp;HOME!E15</f>
        <v>SY 2025-2026</v>
      </c>
      <c r="C3" s="564"/>
      <c r="D3" s="564"/>
      <c r="E3" s="564"/>
      <c r="F3" s="564"/>
      <c r="G3" s="564"/>
      <c r="H3" s="564"/>
      <c r="I3" s="564"/>
      <c r="J3" s="564"/>
      <c r="K3" s="564"/>
      <c r="L3" s="564"/>
      <c r="M3" s="564"/>
      <c r="N3" s="564"/>
      <c r="O3" s="564"/>
      <c r="P3" s="564"/>
      <c r="Q3" s="564"/>
      <c r="R3" s="564"/>
      <c r="S3" s="564"/>
      <c r="U3" s="23" t="str" cm="1">
        <f t="array" aca="1" ref="U3" ca="1">CELL("address",F7)</f>
        <v>$F$7</v>
      </c>
      <c r="V3" s="23" t="b">
        <f t="shared" ref="V3:V4" ca="1" si="0">IFERROR(IF(X3=FALSE,FALSE,X3&gt;0),FALSE)</f>
        <v>1</v>
      </c>
      <c r="W3" s="23" t="s">
        <v>925</v>
      </c>
      <c r="X3" s="23">
        <f t="array" aca="1" ref="X3" ca="1">IFERROR(MATCH(TRUE,EXACT(INDIRECT(U3),INDIRECT(W3)),0),EXACT(INDIRECT(U3),INDIRECT(W3)))</f>
        <v>12</v>
      </c>
    </row>
    <row r="4" spans="1:24" ht="25.05" customHeight="1">
      <c r="A4" s="24"/>
      <c r="B4" s="24"/>
      <c r="C4" s="24"/>
      <c r="D4" s="24"/>
      <c r="E4" s="24"/>
      <c r="F4" s="24"/>
      <c r="G4" s="24"/>
      <c r="H4" s="24"/>
      <c r="I4" s="24"/>
      <c r="J4" s="24"/>
      <c r="K4" s="24"/>
      <c r="L4" s="24"/>
      <c r="M4" s="24"/>
      <c r="N4" s="24"/>
      <c r="O4" s="24"/>
      <c r="P4" s="24"/>
      <c r="Q4" s="24"/>
      <c r="U4" s="23" t="str" cm="1">
        <f t="array" aca="1" ref="U4" ca="1">CELL("address",F8)</f>
        <v>$F$8</v>
      </c>
      <c r="V4" s="23" t="b">
        <f t="shared" ca="1" si="0"/>
        <v>0</v>
      </c>
      <c r="W4" s="23" t="s">
        <v>926</v>
      </c>
      <c r="X4" s="23" t="e">
        <f t="array" aca="1" ref="X4" ca="1">IFERROR(MATCH(TRUE,EXACT(INDIRECT(U4),INDIRECT(W4)),0),EXACT(INDIRECT(U4),INDIRECT(W4)))</f>
        <v>#REF!</v>
      </c>
    </row>
    <row r="5" spans="1:24" ht="22.8">
      <c r="A5" s="24"/>
      <c r="B5" s="25" t="s">
        <v>927</v>
      </c>
      <c r="C5" s="24"/>
      <c r="D5" s="24"/>
      <c r="E5" s="24"/>
      <c r="F5" s="24"/>
      <c r="G5" s="24"/>
      <c r="H5" s="24"/>
      <c r="I5" s="24"/>
      <c r="J5" s="24"/>
      <c r="K5" s="25" t="s">
        <v>928</v>
      </c>
      <c r="L5" s="24"/>
      <c r="M5" s="24"/>
      <c r="N5" s="24"/>
      <c r="O5" s="24"/>
      <c r="P5" s="24"/>
      <c r="Q5" s="24"/>
      <c r="U5" s="23" t="str" cm="1">
        <f t="array" aca="1" ref="U5" ca="1">CELL("address",F12)</f>
        <v>$F$12</v>
      </c>
      <c r="V5" s="23" t="b">
        <v>0</v>
      </c>
      <c r="W5" s="23" t="s">
        <v>929</v>
      </c>
      <c r="X5" s="23" t="b">
        <f t="array" aca="1" ref="X5" ca="1">IFERROR(MATCH(TRUE,EXACT(INDIRECT(U5),INDIRECT(W5)),0),EXACT(INDIRECT(U5),INDIRECT(W5)))</f>
        <v>0</v>
      </c>
    </row>
    <row r="6" spans="1:24" ht="12" customHeight="1" thickBot="1">
      <c r="B6" s="26"/>
      <c r="C6" s="27"/>
      <c r="D6" s="27"/>
      <c r="E6" s="27"/>
      <c r="F6" s="27"/>
      <c r="G6" s="27"/>
      <c r="U6" s="23" t="str" cm="1">
        <f t="array" aca="1" ref="U6" ca="1">CELL("address",F13)</f>
        <v>$F$13</v>
      </c>
      <c r="V6" s="23" t="b">
        <v>0</v>
      </c>
      <c r="W6" s="23" t="s">
        <v>930</v>
      </c>
      <c r="X6" s="23" t="b">
        <f t="array" aca="1" ref="X6" ca="1">IFERROR(MATCH(TRUE,EXACT(INDIRECT(U6),INDIRECT(W6)),0),EXACT(INDIRECT(U6),INDIRECT(W6)))</f>
        <v>0</v>
      </c>
    </row>
    <row r="7" spans="1:24" ht="19.95" customHeight="1">
      <c r="B7" s="565" t="s">
        <v>931</v>
      </c>
      <c r="C7" s="566"/>
      <c r="D7" s="566"/>
      <c r="E7" s="566"/>
      <c r="F7" s="567" t="s">
        <v>284</v>
      </c>
      <c r="G7" s="567"/>
      <c r="H7" s="567"/>
      <c r="I7" s="567"/>
      <c r="J7" s="28" t="s">
        <v>932</v>
      </c>
      <c r="K7" s="568" t="s">
        <v>933</v>
      </c>
      <c r="L7" s="569"/>
      <c r="M7" s="569"/>
      <c r="N7" s="570" t="s">
        <v>1661</v>
      </c>
      <c r="O7" s="570"/>
      <c r="P7" s="28" t="s">
        <v>932</v>
      </c>
      <c r="Q7" s="29" t="s">
        <v>934</v>
      </c>
      <c r="R7" s="498" t="s">
        <v>811</v>
      </c>
      <c r="S7" s="30" t="s">
        <v>932</v>
      </c>
      <c r="U7" s="23" t="str" cm="1">
        <f t="array" aca="1" ref="U7" ca="1">CELL("address",F14)</f>
        <v>$F$14</v>
      </c>
      <c r="V7" s="23" t="b">
        <f t="shared" ref="V7:V13" ca="1" si="1">IFERROR(IF(X7=FALSE,FALSE,X7&gt;0),FALSE)</f>
        <v>0</v>
      </c>
      <c r="W7" s="23" t="s">
        <v>935</v>
      </c>
      <c r="X7" s="23" t="b">
        <f t="array" aca="1" ref="X7" ca="1">IFERROR(MATCH(TRUE,EXACT(INDIRECT(U7),INDIRECT(W7)),0),EXACT(INDIRECT(U7),INDIRECT(W7)))</f>
        <v>0</v>
      </c>
    </row>
    <row r="8" spans="1:24" ht="19.95" customHeight="1">
      <c r="B8" s="571" t="s">
        <v>936</v>
      </c>
      <c r="C8" s="572"/>
      <c r="D8" s="572"/>
      <c r="E8" s="572"/>
      <c r="F8" s="573" t="s">
        <v>604</v>
      </c>
      <c r="G8" s="573"/>
      <c r="H8" s="573"/>
      <c r="I8" s="573"/>
      <c r="J8" s="31" t="s">
        <v>932</v>
      </c>
      <c r="K8" s="574" t="s">
        <v>937</v>
      </c>
      <c r="L8" s="575"/>
      <c r="M8" s="575"/>
      <c r="N8" s="576" t="s">
        <v>1662</v>
      </c>
      <c r="O8" s="576"/>
      <c r="P8" s="31" t="s">
        <v>932</v>
      </c>
      <c r="Q8" s="577" t="s">
        <v>938</v>
      </c>
      <c r="R8" s="499" t="s">
        <v>813</v>
      </c>
      <c r="S8" s="32" t="s">
        <v>932</v>
      </c>
      <c r="U8" s="23" t="str" cm="1">
        <f t="array" aca="1" ref="U8" ca="1">CELL("address",N11)</f>
        <v>$N$11</v>
      </c>
      <c r="V8" s="23" t="b">
        <f t="shared" ca="1" si="1"/>
        <v>0</v>
      </c>
      <c r="W8" s="23" t="s">
        <v>1089</v>
      </c>
      <c r="X8" s="23" t="b">
        <f t="array" aca="1" ref="X8" ca="1">IFERROR(MATCH(TRUE,EXACT(INDIRECT(U8),INDIRECT(W8)),0),EXACT(INDIRECT(U8),INDIRECT(W8)))</f>
        <v>0</v>
      </c>
    </row>
    <row r="9" spans="1:24" ht="19.95" customHeight="1">
      <c r="B9" s="571" t="s">
        <v>939</v>
      </c>
      <c r="C9" s="572"/>
      <c r="D9" s="572"/>
      <c r="E9" s="572"/>
      <c r="F9" s="573">
        <v>303172</v>
      </c>
      <c r="G9" s="573"/>
      <c r="H9" s="573"/>
      <c r="I9" s="573"/>
      <c r="J9" s="31" t="str">
        <f>IF($F$13="Community-based Learning Center","","*")</f>
        <v>*</v>
      </c>
      <c r="K9" s="574" t="s">
        <v>940</v>
      </c>
      <c r="L9" s="575"/>
      <c r="M9" s="575"/>
      <c r="N9" s="576" t="s">
        <v>1663</v>
      </c>
      <c r="O9" s="576"/>
      <c r="P9" s="31"/>
      <c r="Q9" s="578"/>
      <c r="R9" s="500"/>
      <c r="S9" s="32"/>
      <c r="U9" s="23" t="str" cm="1">
        <f t="array" aca="1" ref="U9" ca="1">CELL("address",N12)</f>
        <v>$N$12</v>
      </c>
      <c r="V9" s="23" t="b">
        <f t="shared" ca="1" si="1"/>
        <v>1</v>
      </c>
      <c r="W9" s="23" t="s">
        <v>941</v>
      </c>
      <c r="X9" s="23">
        <f t="array" aca="1" ref="X9" ca="1">IFERROR(MATCH(TRUE,EXACT(INDIRECT(U9),INDIRECT(W9)),0),EXACT(INDIRECT(U9),INDIRECT(W9)))</f>
        <v>1</v>
      </c>
    </row>
    <row r="10" spans="1:24" ht="19.95" customHeight="1">
      <c r="B10" s="579" t="s">
        <v>942</v>
      </c>
      <c r="C10" s="580"/>
      <c r="D10" s="580"/>
      <c r="E10" s="581"/>
      <c r="F10" s="582" t="s">
        <v>1660</v>
      </c>
      <c r="G10" s="583"/>
      <c r="H10" s="583"/>
      <c r="I10" s="584"/>
      <c r="J10" s="31" t="str">
        <f>IF($F$13="Community-based Learning Center","","*")</f>
        <v>*</v>
      </c>
      <c r="K10" s="585" t="s">
        <v>943</v>
      </c>
      <c r="L10" s="586"/>
      <c r="M10" s="586"/>
      <c r="N10" s="587">
        <v>6099109</v>
      </c>
      <c r="O10" s="587"/>
      <c r="P10" s="31" t="s">
        <v>932</v>
      </c>
      <c r="Q10" s="33" t="s">
        <v>944</v>
      </c>
      <c r="R10" s="499" t="s">
        <v>279</v>
      </c>
      <c r="S10" s="32" t="s">
        <v>932</v>
      </c>
      <c r="U10" s="23" t="str" cm="1">
        <f t="array" aca="1" ref="U10" ca="1">CELL("address",N13)</f>
        <v>$N$13</v>
      </c>
      <c r="V10" s="23" t="b">
        <f t="shared" ca="1" si="1"/>
        <v>1</v>
      </c>
      <c r="W10" s="23" t="s">
        <v>945</v>
      </c>
      <c r="X10" s="23">
        <f t="array" aca="1" ref="X10" ca="1">IFERROR(MATCH(TRUE,EXACT(INDIRECT(U10),INDIRECT(W10)),0),EXACT(INDIRECT(U10),INDIRECT(W10)))</f>
        <v>5</v>
      </c>
    </row>
    <row r="11" spans="1:24" ht="19.95" customHeight="1">
      <c r="B11" s="579" t="s">
        <v>946</v>
      </c>
      <c r="C11" s="580"/>
      <c r="D11" s="580"/>
      <c r="E11" s="581"/>
      <c r="F11" s="588" t="s">
        <v>786</v>
      </c>
      <c r="G11" s="589"/>
      <c r="H11" s="589"/>
      <c r="I11" s="590"/>
      <c r="J11" s="31" t="str">
        <f>IF($F$13="Community-based Learning Center","","*")</f>
        <v>*</v>
      </c>
      <c r="K11" s="585" t="s">
        <v>0</v>
      </c>
      <c r="L11" s="586"/>
      <c r="M11" s="586"/>
      <c r="N11" s="587" t="s">
        <v>824</v>
      </c>
      <c r="O11" s="587"/>
      <c r="P11" s="31" t="s">
        <v>932</v>
      </c>
      <c r="Q11" s="34" t="s">
        <v>947</v>
      </c>
      <c r="R11" s="501" t="s">
        <v>1664</v>
      </c>
      <c r="S11" s="32" t="s">
        <v>932</v>
      </c>
      <c r="U11" s="23" t="str" cm="1">
        <f t="array" aca="1" ref="U11" ca="1">CELL("address",N14)</f>
        <v>$N$14</v>
      </c>
      <c r="V11" s="23" t="b">
        <f t="shared" ca="1" si="1"/>
        <v>1</v>
      </c>
      <c r="W11" s="23" t="s">
        <v>948</v>
      </c>
      <c r="X11" s="23">
        <f t="array" aca="1" ref="X11" ca="1">IFERROR(MATCH(TRUE,EXACT(INDIRECT(U11),INDIRECT(W11)),0),EXACT(INDIRECT(U11),INDIRECT(W11)))</f>
        <v>1</v>
      </c>
    </row>
    <row r="12" spans="1:24" ht="19.95" customHeight="1">
      <c r="B12" s="597" t="s">
        <v>949</v>
      </c>
      <c r="C12" s="598"/>
      <c r="D12" s="598"/>
      <c r="E12" s="599"/>
      <c r="F12" s="588" t="s">
        <v>835</v>
      </c>
      <c r="G12" s="589"/>
      <c r="H12" s="589"/>
      <c r="I12" s="590"/>
      <c r="J12" s="31" t="str">
        <f>IF($F$13="Community-based Learning Center","","*")</f>
        <v>*</v>
      </c>
      <c r="K12" s="600" t="s">
        <v>950</v>
      </c>
      <c r="L12" s="601"/>
      <c r="M12" s="602"/>
      <c r="N12" s="603" t="s">
        <v>792</v>
      </c>
      <c r="O12" s="604"/>
      <c r="P12" s="31" t="s">
        <v>932</v>
      </c>
      <c r="Q12" s="34" t="s">
        <v>951</v>
      </c>
      <c r="R12" s="500">
        <v>229255073</v>
      </c>
      <c r="S12" s="32" t="s">
        <v>932</v>
      </c>
      <c r="U12" s="23" t="str" cm="1">
        <f t="array" aca="1" ref="U12" ca="1">CELL("address",R7)</f>
        <v>$R$7</v>
      </c>
      <c r="V12" s="23" t="b">
        <f t="shared" ca="1" si="1"/>
        <v>1</v>
      </c>
      <c r="W12" s="23" t="s">
        <v>952</v>
      </c>
      <c r="X12" s="23">
        <f t="array" aca="1" ref="X12" ca="1">IFERROR(MATCH(TRUE,EXACT(INDIRECT(U12),INDIRECT(W12)),0),EXACT(INDIRECT(U12),INDIRECT(W12)))</f>
        <v>2</v>
      </c>
    </row>
    <row r="13" spans="1:24" ht="19.95" customHeight="1">
      <c r="B13" s="605" t="s">
        <v>953</v>
      </c>
      <c r="C13" s="606"/>
      <c r="D13" s="606"/>
      <c r="E13" s="606"/>
      <c r="F13" s="607" t="s">
        <v>328</v>
      </c>
      <c r="G13" s="607"/>
      <c r="H13" s="607"/>
      <c r="I13" s="607"/>
      <c r="J13" s="31" t="str">
        <f>IF($F$14="Community-based Learning Center","","*")</f>
        <v>*</v>
      </c>
      <c r="K13" s="600" t="s">
        <v>954</v>
      </c>
      <c r="L13" s="601"/>
      <c r="M13" s="602"/>
      <c r="N13" s="608" t="s">
        <v>847</v>
      </c>
      <c r="O13" s="609"/>
      <c r="P13" s="31" t="s">
        <v>932</v>
      </c>
      <c r="Q13" s="35"/>
      <c r="S13" s="36"/>
      <c r="U13" s="23" t="str" cm="1">
        <f t="array" aca="1" ref="U13" ca="1">CELL("address",R8)</f>
        <v>$R$8</v>
      </c>
      <c r="V13" s="23" t="b">
        <f t="shared" ca="1" si="1"/>
        <v>1</v>
      </c>
      <c r="W13" s="23" t="s">
        <v>955</v>
      </c>
      <c r="X13" s="23">
        <f t="array" aca="1" ref="X13" ca="1">IFERROR(MATCH(TRUE,EXACT(INDIRECT(U13),INDIRECT(W13)),0),EXACT(INDIRECT(U13),INDIRECT(W13)))</f>
        <v>2</v>
      </c>
    </row>
    <row r="14" spans="1:24" ht="19.95" customHeight="1" thickBot="1">
      <c r="B14" s="610"/>
      <c r="C14" s="611"/>
      <c r="D14" s="611"/>
      <c r="E14" s="611"/>
      <c r="F14" s="611"/>
      <c r="G14" s="611"/>
      <c r="H14" s="611"/>
      <c r="I14" s="612"/>
      <c r="J14" s="37"/>
      <c r="K14" s="613" t="s">
        <v>956</v>
      </c>
      <c r="L14" s="614"/>
      <c r="M14" s="615"/>
      <c r="N14" s="616" t="s">
        <v>791</v>
      </c>
      <c r="O14" s="617"/>
      <c r="P14" s="37" t="s">
        <v>932</v>
      </c>
      <c r="Q14" s="38"/>
      <c r="R14" s="39"/>
      <c r="S14" s="40"/>
      <c r="U14" s="23" t="str" cm="1">
        <f t="array" aca="1" ref="U14" ca="1">CELL("address",demographics_level)</f>
        <v>$R$10</v>
      </c>
      <c r="V14" s="23" t="b">
        <f ca="1">IFERROR(IF(X14=FALSE,FALSE,X14&gt;0),FALSE)</f>
        <v>0</v>
      </c>
      <c r="W14" s="23" t="e">
        <f>VLOOKUP($F$14,curricular_classification_vlookup,2,FALSE)</f>
        <v>#N/A</v>
      </c>
      <c r="X14" s="23" t="e">
        <f t="array" aca="1" ref="X14" ca="1">IFERROR(MATCH(TRUE,EXACT(INDIRECT(U14),INDIRECT(W14)),0),EXACT(INDIRECT(U14),INDIRECT(W14)))</f>
        <v>#N/A</v>
      </c>
    </row>
    <row r="15" spans="1:24" ht="15" customHeight="1">
      <c r="B15" s="41" t="s">
        <v>957</v>
      </c>
      <c r="C15" s="27"/>
      <c r="D15" s="27"/>
      <c r="E15" s="27"/>
      <c r="F15" s="27"/>
      <c r="G15" s="27"/>
    </row>
    <row r="16" spans="1:24" ht="18" customHeight="1" thickBot="1">
      <c r="B16" s="41" t="s">
        <v>958</v>
      </c>
      <c r="C16" s="27"/>
      <c r="D16" s="27"/>
      <c r="E16" s="27"/>
      <c r="F16" s="27"/>
      <c r="G16" s="27"/>
    </row>
    <row r="17" spans="2:16" ht="15" hidden="1" customHeight="1">
      <c r="B17" s="42"/>
      <c r="C17" s="27"/>
      <c r="D17" s="27"/>
      <c r="E17" s="27"/>
      <c r="F17" s="27"/>
      <c r="G17" s="27"/>
      <c r="H17" s="591" t="s">
        <v>959</v>
      </c>
      <c r="I17" s="592"/>
      <c r="J17" s="592"/>
      <c r="K17" s="592"/>
      <c r="L17" s="592"/>
      <c r="M17" s="592"/>
      <c r="N17" s="592"/>
      <c r="O17" s="592"/>
      <c r="P17" s="593"/>
    </row>
    <row r="18" spans="2:16" ht="15" hidden="1" customHeight="1" thickBot="1">
      <c r="B18" s="42"/>
      <c r="C18" s="27"/>
      <c r="D18" s="27"/>
      <c r="E18" s="27"/>
      <c r="F18" s="27"/>
      <c r="G18" s="27"/>
      <c r="H18" s="594"/>
      <c r="I18" s="595"/>
      <c r="J18" s="595"/>
      <c r="K18" s="595"/>
      <c r="L18" s="595"/>
      <c r="M18" s="595"/>
      <c r="N18" s="595"/>
      <c r="O18" s="595"/>
      <c r="P18" s="596"/>
    </row>
    <row r="19" spans="2:16" s="49" customFormat="1" ht="19.95" hidden="1" customHeight="1">
      <c r="B19" s="43"/>
      <c r="C19" s="44"/>
      <c r="D19" s="44"/>
      <c r="E19" s="44"/>
      <c r="F19" s="44"/>
      <c r="G19" s="44"/>
      <c r="H19" s="45"/>
      <c r="I19" s="46" t="s">
        <v>862</v>
      </c>
      <c r="J19" s="47"/>
      <c r="K19" s="46"/>
      <c r="L19" s="46"/>
      <c r="M19" s="46"/>
      <c r="N19" s="46"/>
      <c r="O19" s="46" t="s">
        <v>845</v>
      </c>
      <c r="P19" s="48"/>
    </row>
    <row r="20" spans="2:16" s="49" customFormat="1" ht="19.95" hidden="1" customHeight="1">
      <c r="B20" s="43"/>
      <c r="C20" s="44"/>
      <c r="D20" s="44"/>
      <c r="E20" s="44"/>
      <c r="F20" s="44"/>
      <c r="G20" s="44"/>
      <c r="H20" s="50"/>
      <c r="I20" s="44" t="s">
        <v>206</v>
      </c>
      <c r="K20" s="44"/>
      <c r="L20" s="44"/>
      <c r="M20" s="44"/>
      <c r="N20" s="44"/>
      <c r="O20" s="44" t="s">
        <v>851</v>
      </c>
      <c r="P20" s="51"/>
    </row>
    <row r="21" spans="2:16" s="49" customFormat="1" ht="19.95" hidden="1" customHeight="1">
      <c r="B21" s="43"/>
      <c r="C21" s="44"/>
      <c r="D21" s="44"/>
      <c r="E21" s="44"/>
      <c r="F21" s="44"/>
      <c r="G21" s="44"/>
      <c r="H21" s="50"/>
      <c r="I21" s="44" t="s">
        <v>806</v>
      </c>
      <c r="K21" s="44"/>
      <c r="L21" s="44"/>
      <c r="M21" s="44"/>
      <c r="N21" s="44"/>
      <c r="O21" s="44" t="s">
        <v>856</v>
      </c>
      <c r="P21" s="51"/>
    </row>
    <row r="22" spans="2:16" s="49" customFormat="1" ht="19.95" hidden="1" customHeight="1">
      <c r="B22" s="43"/>
      <c r="C22" s="44"/>
      <c r="D22" s="44"/>
      <c r="E22" s="44"/>
      <c r="F22" s="44"/>
      <c r="G22" s="44"/>
      <c r="H22" s="50"/>
      <c r="I22" s="44" t="s">
        <v>823</v>
      </c>
      <c r="K22" s="44"/>
      <c r="L22" s="44"/>
      <c r="M22" s="44"/>
      <c r="N22" s="44"/>
      <c r="O22" s="49" t="s">
        <v>960</v>
      </c>
      <c r="P22" s="51"/>
    </row>
    <row r="23" spans="2:16" s="49" customFormat="1" ht="19.95" hidden="1" customHeight="1" thickBot="1">
      <c r="B23" s="43"/>
      <c r="C23" s="44"/>
      <c r="D23" s="44"/>
      <c r="E23" s="44"/>
      <c r="F23" s="44"/>
      <c r="G23" s="44"/>
      <c r="H23" s="52"/>
      <c r="I23" s="53" t="s">
        <v>837</v>
      </c>
      <c r="J23" s="54"/>
      <c r="K23" s="54"/>
      <c r="L23" s="54"/>
      <c r="M23" s="54"/>
      <c r="N23" s="54"/>
      <c r="O23" s="55" t="s">
        <v>961</v>
      </c>
      <c r="P23" s="56"/>
    </row>
    <row r="24" spans="2:16" ht="15" hidden="1" customHeight="1" thickBot="1">
      <c r="B24" s="42"/>
      <c r="C24" s="27"/>
      <c r="D24" s="27"/>
      <c r="E24" s="27"/>
      <c r="F24" s="27"/>
      <c r="G24" s="27"/>
    </row>
    <row r="25" spans="2:16" ht="15" hidden="1" customHeight="1">
      <c r="B25" s="42"/>
      <c r="C25" s="27"/>
      <c r="D25" s="27"/>
      <c r="E25" s="27"/>
      <c r="F25" s="27"/>
      <c r="G25" s="27"/>
      <c r="H25" s="591" t="s">
        <v>959</v>
      </c>
      <c r="I25" s="592"/>
      <c r="J25" s="592"/>
      <c r="K25" s="592"/>
      <c r="L25" s="592"/>
      <c r="M25" s="592"/>
      <c r="N25" s="592"/>
      <c r="O25" s="592"/>
      <c r="P25" s="593"/>
    </row>
    <row r="26" spans="2:16" ht="15" hidden="1" customHeight="1" thickBot="1">
      <c r="B26" s="42"/>
      <c r="C26" s="27"/>
      <c r="D26" s="27"/>
      <c r="E26" s="27"/>
      <c r="F26" s="27"/>
      <c r="G26" s="27"/>
      <c r="H26" s="594"/>
      <c r="I26" s="595"/>
      <c r="J26" s="595"/>
      <c r="K26" s="595"/>
      <c r="L26" s="595"/>
      <c r="M26" s="595"/>
      <c r="N26" s="595"/>
      <c r="O26" s="595"/>
      <c r="P26" s="596"/>
    </row>
    <row r="27" spans="2:16" ht="19.95" hidden="1" customHeight="1">
      <c r="B27" s="42"/>
      <c r="C27" s="27"/>
      <c r="D27" s="27"/>
      <c r="E27" s="27"/>
      <c r="F27" s="27"/>
      <c r="G27" s="27"/>
      <c r="H27" s="45"/>
      <c r="I27" s="46" t="s">
        <v>862</v>
      </c>
      <c r="J27" s="47"/>
      <c r="K27" s="46"/>
      <c r="L27" s="46"/>
      <c r="M27" s="46"/>
      <c r="N27" s="46"/>
      <c r="O27" s="46" t="s">
        <v>883</v>
      </c>
      <c r="P27" s="57"/>
    </row>
    <row r="28" spans="2:16" ht="19.95" hidden="1" customHeight="1">
      <c r="B28" s="42"/>
      <c r="C28" s="27"/>
      <c r="D28" s="27"/>
      <c r="E28" s="27"/>
      <c r="F28" s="27"/>
      <c r="G28" s="27"/>
      <c r="H28" s="50"/>
      <c r="I28" s="44" t="s">
        <v>874</v>
      </c>
      <c r="J28" s="49"/>
      <c r="K28" s="44"/>
      <c r="L28" s="44"/>
      <c r="M28" s="44"/>
      <c r="N28" s="44"/>
      <c r="O28" s="44" t="s">
        <v>886</v>
      </c>
      <c r="P28" s="36"/>
    </row>
    <row r="29" spans="2:16" ht="19.95" hidden="1" customHeight="1">
      <c r="B29" s="42"/>
      <c r="C29" s="27"/>
      <c r="D29" s="27"/>
      <c r="E29" s="27"/>
      <c r="F29" s="27"/>
      <c r="G29" s="27"/>
      <c r="H29" s="50"/>
      <c r="I29" s="44" t="s">
        <v>879</v>
      </c>
      <c r="J29" s="49"/>
      <c r="K29" s="44"/>
      <c r="L29" s="44"/>
      <c r="M29" s="44"/>
      <c r="N29" s="44"/>
      <c r="O29" s="49" t="s">
        <v>960</v>
      </c>
      <c r="P29" s="36"/>
    </row>
    <row r="30" spans="2:16" ht="19.95" hidden="1" customHeight="1" thickBot="1">
      <c r="B30" s="42"/>
      <c r="C30" s="27"/>
      <c r="D30" s="27"/>
      <c r="E30" s="27"/>
      <c r="F30" s="27"/>
      <c r="G30" s="27"/>
      <c r="H30" s="52"/>
      <c r="I30" s="54"/>
      <c r="J30" s="54"/>
      <c r="K30" s="54"/>
      <c r="L30" s="54"/>
      <c r="M30" s="54"/>
      <c r="N30" s="53"/>
      <c r="O30" s="55" t="s">
        <v>961</v>
      </c>
      <c r="P30" s="40"/>
    </row>
    <row r="31" spans="2:16" ht="15" hidden="1" customHeight="1" thickBot="1">
      <c r="B31" s="42"/>
      <c r="C31" s="27"/>
      <c r="D31" s="27"/>
      <c r="E31" s="27"/>
      <c r="F31" s="27"/>
      <c r="G31" s="27"/>
    </row>
    <row r="32" spans="2:16" ht="15" hidden="1" customHeight="1">
      <c r="B32" s="42"/>
      <c r="C32" s="27"/>
      <c r="D32" s="27"/>
      <c r="E32" s="27"/>
      <c r="F32" s="27"/>
      <c r="G32" s="27"/>
      <c r="H32" s="591" t="s">
        <v>959</v>
      </c>
      <c r="I32" s="592"/>
      <c r="J32" s="592"/>
      <c r="K32" s="592"/>
      <c r="L32" s="592"/>
      <c r="M32" s="592"/>
      <c r="N32" s="592"/>
      <c r="O32" s="592"/>
      <c r="P32" s="593"/>
    </row>
    <row r="33" spans="2:22" ht="15" hidden="1" customHeight="1" thickBot="1">
      <c r="B33" s="42"/>
      <c r="C33" s="27"/>
      <c r="D33" s="27"/>
      <c r="E33" s="27"/>
      <c r="F33" s="27"/>
      <c r="G33" s="27"/>
      <c r="H33" s="594"/>
      <c r="I33" s="595"/>
      <c r="J33" s="595"/>
      <c r="K33" s="595"/>
      <c r="L33" s="595"/>
      <c r="M33" s="595"/>
      <c r="N33" s="595"/>
      <c r="O33" s="595"/>
      <c r="P33" s="596"/>
    </row>
    <row r="34" spans="2:22" ht="19.95" hidden="1" customHeight="1">
      <c r="B34" s="42"/>
      <c r="C34" s="27"/>
      <c r="D34" s="27"/>
      <c r="E34" s="27"/>
      <c r="F34" s="27"/>
      <c r="G34" s="27"/>
      <c r="H34" s="45"/>
      <c r="I34" s="46" t="s">
        <v>889</v>
      </c>
      <c r="J34" s="47"/>
      <c r="K34" s="46"/>
      <c r="L34" s="46"/>
      <c r="M34" s="46"/>
      <c r="N34" s="46"/>
      <c r="O34" s="47" t="s">
        <v>960</v>
      </c>
      <c r="P34" s="48"/>
    </row>
    <row r="35" spans="2:22" ht="19.95" hidden="1" customHeight="1" thickBot="1">
      <c r="B35" s="42"/>
      <c r="C35" s="27"/>
      <c r="D35" s="27"/>
      <c r="E35" s="27"/>
      <c r="F35" s="27"/>
      <c r="G35" s="27"/>
      <c r="H35" s="52"/>
      <c r="I35" s="53" t="s">
        <v>892</v>
      </c>
      <c r="J35" s="54"/>
      <c r="K35" s="53"/>
      <c r="L35" s="53"/>
      <c r="M35" s="53"/>
      <c r="N35" s="54"/>
      <c r="O35" s="55" t="s">
        <v>961</v>
      </c>
      <c r="P35" s="56"/>
    </row>
    <row r="36" spans="2:22" ht="15" hidden="1" customHeight="1" thickBot="1">
      <c r="B36" s="42"/>
      <c r="C36" s="27"/>
      <c r="D36" s="27"/>
      <c r="E36" s="27"/>
      <c r="F36" s="27"/>
      <c r="G36" s="27"/>
    </row>
    <row r="37" spans="2:22" ht="21" customHeight="1">
      <c r="B37" s="618"/>
      <c r="C37" s="618"/>
      <c r="D37" s="27"/>
      <c r="E37" s="27"/>
      <c r="F37" s="27"/>
      <c r="G37" s="27"/>
      <c r="H37" s="591" t="s">
        <v>962</v>
      </c>
      <c r="I37" s="592"/>
      <c r="J37" s="592"/>
      <c r="K37" s="592"/>
      <c r="L37" s="592"/>
      <c r="M37" s="592"/>
      <c r="N37" s="592"/>
      <c r="O37" s="592"/>
      <c r="P37" s="593"/>
    </row>
    <row r="38" spans="2:22" ht="15" customHeight="1" thickBot="1">
      <c r="B38" s="27"/>
      <c r="C38" s="27"/>
      <c r="D38" s="27"/>
      <c r="E38" s="27"/>
      <c r="F38" s="27"/>
      <c r="G38" s="27"/>
      <c r="H38" s="594"/>
      <c r="I38" s="595"/>
      <c r="J38" s="595"/>
      <c r="K38" s="595"/>
      <c r="L38" s="595"/>
      <c r="M38" s="595"/>
      <c r="N38" s="595"/>
      <c r="O38" s="595"/>
      <c r="P38" s="596"/>
    </row>
    <row r="39" spans="2:22" ht="19.95" customHeight="1">
      <c r="B39" s="27"/>
      <c r="C39" s="27"/>
      <c r="D39" s="27"/>
      <c r="E39" s="27"/>
      <c r="F39" s="27"/>
      <c r="G39" s="27"/>
      <c r="H39" s="45"/>
      <c r="I39" s="46" t="s">
        <v>794</v>
      </c>
      <c r="J39" s="47"/>
      <c r="K39" s="46"/>
      <c r="L39" s="46"/>
      <c r="M39" s="46"/>
      <c r="N39" s="46"/>
      <c r="O39" s="47" t="s">
        <v>876</v>
      </c>
      <c r="P39" s="57"/>
    </row>
    <row r="40" spans="2:22" ht="19.95" customHeight="1">
      <c r="C40" s="27"/>
      <c r="D40" s="27"/>
      <c r="E40" s="27"/>
      <c r="F40" s="27"/>
      <c r="G40" s="27"/>
      <c r="H40" s="50"/>
      <c r="I40" s="44" t="s">
        <v>812</v>
      </c>
      <c r="J40" s="49"/>
      <c r="K40" s="44"/>
      <c r="L40" s="44"/>
      <c r="M40" s="44"/>
      <c r="N40" s="44"/>
      <c r="O40" s="49" t="s">
        <v>862</v>
      </c>
      <c r="P40" s="36"/>
    </row>
    <row r="41" spans="2:22" ht="19.95" customHeight="1">
      <c r="C41" s="27"/>
      <c r="D41" s="27"/>
      <c r="E41" s="27"/>
      <c r="F41" s="27"/>
      <c r="G41" s="27"/>
      <c r="H41" s="50"/>
      <c r="I41" s="44" t="s">
        <v>828</v>
      </c>
      <c r="J41" s="49"/>
      <c r="K41" s="44"/>
      <c r="L41" s="44"/>
      <c r="M41" s="44"/>
      <c r="N41" s="44"/>
      <c r="O41" s="49" t="s">
        <v>881</v>
      </c>
      <c r="P41" s="36"/>
    </row>
    <row r="42" spans="2:22" ht="19.95" customHeight="1">
      <c r="C42" s="27"/>
      <c r="D42" s="27"/>
      <c r="E42" s="27"/>
      <c r="F42" s="27"/>
      <c r="G42" s="27"/>
      <c r="H42" s="50"/>
      <c r="I42" s="44" t="s">
        <v>841</v>
      </c>
      <c r="J42" s="49"/>
      <c r="K42" s="44"/>
      <c r="L42" s="44"/>
      <c r="M42" s="44"/>
      <c r="N42" s="44"/>
      <c r="O42" s="49" t="s">
        <v>884</v>
      </c>
      <c r="P42" s="36"/>
    </row>
    <row r="43" spans="2:22" ht="19.95" customHeight="1">
      <c r="C43" s="27"/>
      <c r="D43" s="27"/>
      <c r="E43" s="27"/>
      <c r="F43" s="27"/>
      <c r="G43" s="27"/>
      <c r="H43" s="50"/>
      <c r="I43" s="44" t="s">
        <v>848</v>
      </c>
      <c r="J43" s="49"/>
      <c r="K43" s="44"/>
      <c r="L43" s="44"/>
      <c r="M43" s="44"/>
      <c r="N43" s="44"/>
      <c r="O43" s="49" t="s">
        <v>887</v>
      </c>
      <c r="P43" s="36"/>
    </row>
    <row r="44" spans="2:22" ht="19.95" customHeight="1">
      <c r="C44" s="27"/>
      <c r="D44" s="27"/>
      <c r="E44" s="27"/>
      <c r="F44" s="27"/>
      <c r="G44" s="27"/>
      <c r="H44" s="50"/>
      <c r="I44" s="44" t="s">
        <v>854</v>
      </c>
      <c r="J44" s="49"/>
      <c r="K44" s="44"/>
      <c r="L44" s="44"/>
      <c r="M44" s="44"/>
      <c r="N44" s="44"/>
      <c r="O44" s="49" t="s">
        <v>890</v>
      </c>
      <c r="P44" s="36"/>
    </row>
    <row r="45" spans="2:22" ht="19.95" customHeight="1">
      <c r="C45" s="27"/>
      <c r="D45" s="27"/>
      <c r="E45" s="27"/>
      <c r="F45" s="27"/>
      <c r="G45" s="27"/>
      <c r="H45" s="50"/>
      <c r="I45" s="44" t="s">
        <v>859</v>
      </c>
      <c r="J45" s="49"/>
      <c r="K45" s="44"/>
      <c r="L45" s="44"/>
      <c r="M45" s="44"/>
      <c r="N45" s="44"/>
      <c r="O45" s="49" t="s">
        <v>895</v>
      </c>
      <c r="P45" s="36"/>
    </row>
    <row r="46" spans="2:22" ht="19.95" customHeight="1">
      <c r="C46" s="27"/>
      <c r="D46" s="27"/>
      <c r="E46" s="27"/>
      <c r="F46" s="27"/>
      <c r="G46" s="27"/>
      <c r="H46" s="50"/>
      <c r="I46" s="44" t="s">
        <v>865</v>
      </c>
      <c r="J46" s="49"/>
      <c r="K46" s="44"/>
      <c r="L46" s="44"/>
      <c r="M46" s="44"/>
      <c r="N46" s="44"/>
      <c r="O46" s="49" t="s">
        <v>963</v>
      </c>
      <c r="P46" s="58"/>
    </row>
    <row r="47" spans="2:22" ht="19.95" customHeight="1" thickBot="1">
      <c r="C47" s="27"/>
      <c r="D47" s="27"/>
      <c r="E47" s="27"/>
      <c r="F47" s="27"/>
      <c r="G47" s="27"/>
      <c r="H47" s="52"/>
      <c r="I47" s="53" t="s">
        <v>871</v>
      </c>
      <c r="J47" s="54"/>
      <c r="K47" s="54"/>
      <c r="L47" s="54"/>
      <c r="M47" s="53"/>
      <c r="N47" s="53"/>
      <c r="O47" s="59" t="s">
        <v>1665</v>
      </c>
      <c r="P47" s="60"/>
      <c r="V47" s="20" t="b">
        <f ca="1">R81</f>
        <v>1</v>
      </c>
    </row>
    <row r="48" spans="2:22" ht="19.95" customHeight="1" thickBot="1"/>
    <row r="49" spans="4:22" ht="15.45" hidden="1" customHeight="1">
      <c r="D49" s="27"/>
      <c r="E49" s="27"/>
      <c r="F49" s="27"/>
      <c r="G49" s="27"/>
      <c r="H49" s="591" t="s">
        <v>964</v>
      </c>
      <c r="I49" s="592"/>
      <c r="J49" s="592"/>
      <c r="K49" s="592"/>
      <c r="L49" s="592"/>
      <c r="M49" s="592"/>
      <c r="N49" s="592"/>
      <c r="O49" s="592"/>
      <c r="P49" s="593"/>
    </row>
    <row r="50" spans="4:22" ht="15.45" hidden="1" customHeight="1" thickBot="1">
      <c r="D50" s="27"/>
      <c r="E50" s="27"/>
      <c r="F50" s="27"/>
      <c r="G50" s="27"/>
      <c r="H50" s="594"/>
      <c r="I50" s="595"/>
      <c r="J50" s="595"/>
      <c r="K50" s="595"/>
      <c r="L50" s="595"/>
      <c r="M50" s="595"/>
      <c r="N50" s="595"/>
      <c r="O50" s="595"/>
      <c r="P50" s="596"/>
    </row>
    <row r="51" spans="4:22" s="49" customFormat="1" ht="19.95" hidden="1" customHeight="1">
      <c r="D51" s="44"/>
      <c r="E51" s="44"/>
      <c r="F51" s="44"/>
      <c r="G51" s="44"/>
      <c r="H51" s="45"/>
      <c r="I51" s="46" t="s">
        <v>796</v>
      </c>
      <c r="J51" s="47"/>
      <c r="K51" s="46"/>
      <c r="L51" s="46"/>
      <c r="M51" s="46"/>
      <c r="N51" s="46"/>
      <c r="O51" s="46" t="s">
        <v>965</v>
      </c>
      <c r="P51" s="48"/>
    </row>
    <row r="52" spans="4:22" s="49" customFormat="1" ht="19.95" hidden="1" customHeight="1">
      <c r="D52" s="44"/>
      <c r="E52" s="44"/>
      <c r="F52" s="44"/>
      <c r="G52" s="44"/>
      <c r="H52" s="50"/>
      <c r="I52" s="44" t="s">
        <v>814</v>
      </c>
      <c r="L52" s="44"/>
      <c r="M52" s="44"/>
      <c r="N52" s="44"/>
      <c r="O52" s="44" t="s">
        <v>966</v>
      </c>
      <c r="P52" s="51"/>
    </row>
    <row r="53" spans="4:22" s="49" customFormat="1" ht="19.95" hidden="1" customHeight="1">
      <c r="D53" s="44"/>
      <c r="E53" s="44"/>
      <c r="F53" s="44"/>
      <c r="G53" s="44"/>
      <c r="H53" s="50"/>
      <c r="I53" s="44" t="s">
        <v>830</v>
      </c>
      <c r="L53" s="44"/>
      <c r="M53" s="44"/>
      <c r="N53" s="44"/>
      <c r="O53" s="44" t="s">
        <v>967</v>
      </c>
      <c r="P53" s="51"/>
    </row>
    <row r="54" spans="4:22" s="49" customFormat="1" ht="19.95" hidden="1" customHeight="1">
      <c r="D54" s="44"/>
      <c r="E54" s="44"/>
      <c r="F54" s="44"/>
      <c r="G54" s="44"/>
      <c r="H54" s="50"/>
      <c r="I54" s="44" t="s">
        <v>812</v>
      </c>
      <c r="L54" s="44"/>
      <c r="M54" s="44"/>
      <c r="N54" s="44"/>
      <c r="O54" s="44" t="s">
        <v>893</v>
      </c>
      <c r="P54" s="51"/>
    </row>
    <row r="55" spans="4:22" s="49" customFormat="1" ht="19.95" hidden="1" customHeight="1">
      <c r="D55" s="44"/>
      <c r="E55" s="44"/>
      <c r="F55" s="44"/>
      <c r="G55" s="44"/>
      <c r="H55" s="50"/>
      <c r="I55" s="44" t="s">
        <v>794</v>
      </c>
      <c r="L55" s="44"/>
      <c r="M55" s="44"/>
      <c r="N55" s="44"/>
      <c r="O55" s="44" t="s">
        <v>896</v>
      </c>
      <c r="P55" s="51"/>
    </row>
    <row r="56" spans="4:22" s="49" customFormat="1" ht="19.95" hidden="1" customHeight="1">
      <c r="D56" s="44"/>
      <c r="E56" s="44"/>
      <c r="F56" s="44"/>
      <c r="G56" s="44"/>
      <c r="H56" s="50"/>
      <c r="I56" s="44" t="s">
        <v>828</v>
      </c>
      <c r="L56" s="44"/>
      <c r="M56" s="44"/>
      <c r="N56" s="44"/>
      <c r="O56" s="44" t="s">
        <v>898</v>
      </c>
      <c r="P56" s="51"/>
    </row>
    <row r="57" spans="4:22" s="49" customFormat="1" ht="19.95" hidden="1" customHeight="1">
      <c r="D57" s="44"/>
      <c r="E57" s="44"/>
      <c r="F57" s="44"/>
      <c r="G57" s="44"/>
      <c r="H57" s="50"/>
      <c r="I57" s="44" t="s">
        <v>968</v>
      </c>
      <c r="L57" s="44"/>
      <c r="M57" s="44"/>
      <c r="N57" s="44"/>
      <c r="O57" s="44" t="s">
        <v>900</v>
      </c>
      <c r="P57" s="51"/>
    </row>
    <row r="58" spans="4:22" s="49" customFormat="1" ht="19.95" hidden="1" customHeight="1">
      <c r="D58" s="44"/>
      <c r="E58" s="44"/>
      <c r="F58" s="44"/>
      <c r="G58" s="44"/>
      <c r="H58" s="50"/>
      <c r="I58" s="44" t="s">
        <v>866</v>
      </c>
      <c r="L58" s="44"/>
      <c r="M58" s="44"/>
      <c r="N58" s="44"/>
      <c r="O58" s="49" t="s">
        <v>902</v>
      </c>
      <c r="P58" s="51"/>
    </row>
    <row r="59" spans="4:22" s="49" customFormat="1" ht="19.95" hidden="1" customHeight="1">
      <c r="D59" s="44"/>
      <c r="E59" s="44"/>
      <c r="F59" s="44"/>
      <c r="G59" s="44"/>
      <c r="H59" s="50"/>
      <c r="I59" s="44" t="s">
        <v>969</v>
      </c>
      <c r="J59" s="44"/>
      <c r="K59" s="44"/>
      <c r="L59" s="44"/>
      <c r="M59" s="44"/>
      <c r="O59" s="61" t="s">
        <v>970</v>
      </c>
      <c r="P59" s="62"/>
    </row>
    <row r="60" spans="4:22" s="49" customFormat="1" ht="19.95" hidden="1" customHeight="1">
      <c r="D60" s="44"/>
      <c r="E60" s="44"/>
      <c r="F60" s="44"/>
      <c r="G60" s="44"/>
      <c r="H60" s="50"/>
      <c r="I60" s="63" t="s">
        <v>877</v>
      </c>
      <c r="J60" s="64"/>
      <c r="K60" s="64"/>
      <c r="L60" s="44"/>
      <c r="M60" s="44"/>
      <c r="N60" s="44"/>
      <c r="O60" s="63" t="s">
        <v>963</v>
      </c>
      <c r="P60" s="51"/>
    </row>
    <row r="61" spans="4:22" s="49" customFormat="1" ht="19.95" hidden="1" customHeight="1" thickBot="1">
      <c r="D61" s="44"/>
      <c r="E61" s="44"/>
      <c r="F61" s="44"/>
      <c r="G61" s="44"/>
      <c r="H61" s="52"/>
      <c r="I61" s="54" t="s">
        <v>971</v>
      </c>
      <c r="J61" s="65"/>
      <c r="K61" s="65"/>
      <c r="L61" s="53"/>
      <c r="M61" s="53"/>
      <c r="N61" s="65"/>
      <c r="O61" s="59"/>
      <c r="P61" s="56"/>
      <c r="V61" s="49" t="b">
        <f ca="1">R82</f>
        <v>1</v>
      </c>
    </row>
    <row r="62" spans="4:22" ht="15" hidden="1" customHeight="1" thickBot="1"/>
    <row r="63" spans="4:22" ht="15.45" customHeight="1">
      <c r="D63" s="27"/>
      <c r="E63" s="27"/>
      <c r="F63" s="27"/>
      <c r="G63" s="27"/>
      <c r="H63" s="591" t="s">
        <v>972</v>
      </c>
      <c r="I63" s="592"/>
      <c r="J63" s="592"/>
      <c r="K63" s="592"/>
      <c r="L63" s="592"/>
      <c r="M63" s="592"/>
      <c r="N63" s="592"/>
      <c r="O63" s="592"/>
      <c r="P63" s="593"/>
    </row>
    <row r="64" spans="4:22" ht="15.45" customHeight="1" thickBot="1">
      <c r="D64" s="27"/>
      <c r="E64" s="27"/>
      <c r="F64" s="27"/>
      <c r="G64" s="27"/>
      <c r="H64" s="619"/>
      <c r="I64" s="620"/>
      <c r="J64" s="620"/>
      <c r="K64" s="620"/>
      <c r="L64" s="620"/>
      <c r="M64" s="620"/>
      <c r="N64" s="620"/>
      <c r="O64" s="620"/>
      <c r="P64" s="621"/>
    </row>
    <row r="65" spans="3:18" ht="19.95" customHeight="1">
      <c r="D65" s="27"/>
      <c r="E65" s="27"/>
      <c r="F65" s="27"/>
      <c r="G65" s="27"/>
      <c r="H65" s="45"/>
      <c r="I65" s="46" t="s">
        <v>907</v>
      </c>
      <c r="J65" s="47"/>
      <c r="K65" s="46"/>
      <c r="L65" s="46"/>
      <c r="M65" s="46"/>
      <c r="N65" s="46"/>
      <c r="O65" s="46" t="s">
        <v>915</v>
      </c>
      <c r="P65" s="48"/>
    </row>
    <row r="66" spans="3:18" ht="19.95" customHeight="1">
      <c r="D66" s="27"/>
      <c r="E66" s="27"/>
      <c r="F66" s="27"/>
      <c r="G66" s="27"/>
      <c r="H66" s="50"/>
      <c r="I66" s="44" t="s">
        <v>909</v>
      </c>
      <c r="J66" s="49"/>
      <c r="K66" s="49"/>
      <c r="L66" s="44"/>
      <c r="M66" s="44"/>
      <c r="N66" s="44"/>
      <c r="O66" s="44" t="s">
        <v>917</v>
      </c>
      <c r="P66" s="51"/>
    </row>
    <row r="67" spans="3:18" ht="19.95" customHeight="1">
      <c r="D67" s="27"/>
      <c r="E67" s="27"/>
      <c r="F67" s="27"/>
      <c r="G67" s="27"/>
      <c r="H67" s="50"/>
      <c r="I67" s="44" t="s">
        <v>910</v>
      </c>
      <c r="J67" s="49"/>
      <c r="K67" s="49"/>
      <c r="L67" s="44"/>
      <c r="M67" s="44"/>
      <c r="N67" s="44"/>
      <c r="O67" s="44" t="s">
        <v>918</v>
      </c>
      <c r="P67" s="51"/>
    </row>
    <row r="68" spans="3:18" ht="19.95" customHeight="1">
      <c r="D68" s="27"/>
      <c r="E68" s="27"/>
      <c r="F68" s="27"/>
      <c r="G68" s="27"/>
      <c r="H68" s="50"/>
      <c r="I68" s="44" t="s">
        <v>911</v>
      </c>
      <c r="J68" s="49"/>
      <c r="K68" s="49"/>
      <c r="L68" s="44"/>
      <c r="M68" s="44"/>
      <c r="N68" s="44"/>
      <c r="O68" s="44" t="s">
        <v>919</v>
      </c>
      <c r="P68" s="51"/>
    </row>
    <row r="69" spans="3:18" ht="19.95" customHeight="1">
      <c r="D69" s="27"/>
      <c r="E69" s="27"/>
      <c r="F69" s="27"/>
      <c r="G69" s="27"/>
      <c r="H69" s="50"/>
      <c r="I69" s="44" t="s">
        <v>912</v>
      </c>
      <c r="J69" s="49"/>
      <c r="K69" s="49"/>
      <c r="L69" s="44"/>
      <c r="M69" s="44"/>
      <c r="N69" s="44"/>
      <c r="O69" s="44" t="s">
        <v>920</v>
      </c>
      <c r="P69" s="51"/>
    </row>
    <row r="70" spans="3:18" ht="19.95" customHeight="1" thickBot="1">
      <c r="D70" s="27"/>
      <c r="E70" s="27"/>
      <c r="F70" s="27"/>
      <c r="G70" s="27"/>
      <c r="H70" s="52"/>
      <c r="I70" s="53" t="s">
        <v>913</v>
      </c>
      <c r="J70" s="54"/>
      <c r="K70" s="54"/>
      <c r="L70" s="53"/>
      <c r="M70" s="53"/>
      <c r="N70" s="53"/>
      <c r="O70" s="53" t="s">
        <v>973</v>
      </c>
      <c r="P70" s="56"/>
    </row>
    <row r="72" spans="3:18" ht="15.45" hidden="1" customHeight="1">
      <c r="C72" s="66" t="s">
        <v>172</v>
      </c>
      <c r="E72" s="66" t="s">
        <v>974</v>
      </c>
    </row>
    <row r="73" spans="3:18" ht="15.45" hidden="1" customHeight="1">
      <c r="C73" s="20" t="e">
        <f ca="1">AND(V3:V14,F124:F131,N124:N126,N128:N131,R124:R127,R129,R76:R79,R81:R82)</f>
        <v>#NAME?</v>
      </c>
      <c r="E73" s="20" t="b">
        <v>0</v>
      </c>
    </row>
    <row r="74" spans="3:18" ht="15.45" hidden="1" customHeight="1">
      <c r="C74" s="66" t="s">
        <v>975</v>
      </c>
      <c r="G74" s="66"/>
    </row>
    <row r="75" spans="3:18" ht="15.45" hidden="1" customHeight="1">
      <c r="C75" s="20" t="b">
        <v>0</v>
      </c>
    </row>
    <row r="76" spans="3:18" ht="15.45" hidden="1" customHeight="1">
      <c r="D76" s="66" t="s">
        <v>976</v>
      </c>
      <c r="N76" s="66" t="s">
        <v>977</v>
      </c>
      <c r="Q76" s="20" t="s">
        <v>978</v>
      </c>
      <c r="R76" s="20" t="b">
        <f ca="1">LEN(E121)&gt;0</f>
        <v>0</v>
      </c>
    </row>
    <row r="77" spans="3:18" ht="15.45" hidden="1" customHeight="1">
      <c r="C77" s="502" t="b">
        <v>0</v>
      </c>
      <c r="E77" s="20" t="s">
        <v>794</v>
      </c>
      <c r="F77" s="20" t="str">
        <f>IF(C77=TRUE,E77,"")</f>
        <v/>
      </c>
      <c r="M77" s="502" t="b">
        <v>0</v>
      </c>
      <c r="O77" s="20" t="s">
        <v>796</v>
      </c>
      <c r="P77" s="20" t="str">
        <f>IF(M77=TRUE,O77,"")</f>
        <v/>
      </c>
      <c r="Q77" s="20" t="s">
        <v>979</v>
      </c>
      <c r="R77" s="20" t="e">
        <f ca="1">LEN(E98)&gt;0</f>
        <v>#NAME?</v>
      </c>
    </row>
    <row r="78" spans="3:18" ht="15.45" hidden="1" customHeight="1">
      <c r="C78" s="502" t="b">
        <v>0</v>
      </c>
      <c r="E78" s="20" t="s">
        <v>812</v>
      </c>
      <c r="F78" s="20" t="str">
        <f>IF(C78=FALSE,F77,IF(F77="",E78,F77&amp;", "&amp;E78))</f>
        <v/>
      </c>
      <c r="M78" s="502" t="b">
        <v>0</v>
      </c>
      <c r="O78" s="20" t="s">
        <v>814</v>
      </c>
      <c r="P78" s="20" t="str">
        <f>IF(M78=FALSE,P77,IF(P77="",O78,P77&amp;", "&amp;O78))</f>
        <v/>
      </c>
      <c r="Q78" s="20" t="s">
        <v>980</v>
      </c>
      <c r="R78" s="20" t="b">
        <f>IF(LOWER(TRIM(demographics_level))="senior high school",TRUE,LEN(O98)&gt;0)</f>
        <v>1</v>
      </c>
    </row>
    <row r="79" spans="3:18" ht="15.45" hidden="1" customHeight="1">
      <c r="C79" s="502" t="b">
        <v>0</v>
      </c>
      <c r="E79" s="20" t="s">
        <v>828</v>
      </c>
      <c r="F79" s="20" t="str">
        <f t="shared" ref="F79:F93" si="2">IF(C79=FALSE,F78,IF(F78="",E79,F78&amp;", "&amp;E79))</f>
        <v/>
      </c>
      <c r="M79" s="502" t="b">
        <v>0</v>
      </c>
      <c r="O79" s="20" t="s">
        <v>830</v>
      </c>
      <c r="P79" s="20" t="str">
        <f t="shared" ref="P79:P96" si="3">IF(M79=FALSE,P78,IF(P78="",O79,P78&amp;", "&amp;O79))</f>
        <v/>
      </c>
      <c r="Q79" s="20" t="s">
        <v>981</v>
      </c>
      <c r="R79" s="20" t="e">
        <f ca="1">IF(LOWER(TRIM(demographics_level))="senior high school",LEN(O115)&gt;0,TRUE)</f>
        <v>#NAME?</v>
      </c>
    </row>
    <row r="80" spans="3:18" ht="15.45" hidden="1" customHeight="1">
      <c r="C80" s="502" t="b">
        <v>0</v>
      </c>
      <c r="E80" s="20" t="s">
        <v>841</v>
      </c>
      <c r="F80" s="20" t="str">
        <f t="shared" si="2"/>
        <v/>
      </c>
      <c r="M80" s="502" t="b">
        <v>0</v>
      </c>
      <c r="O80" s="20" t="s">
        <v>812</v>
      </c>
      <c r="P80" s="20" t="str">
        <f t="shared" si="3"/>
        <v/>
      </c>
    </row>
    <row r="81" spans="3:18" ht="15.45" hidden="1" customHeight="1">
      <c r="C81" s="502" t="b">
        <v>0</v>
      </c>
      <c r="E81" s="20" t="s">
        <v>848</v>
      </c>
      <c r="F81" s="20" t="str">
        <f t="shared" si="2"/>
        <v/>
      </c>
      <c r="M81" s="502" t="b">
        <v>0</v>
      </c>
      <c r="O81" s="20" t="s">
        <v>794</v>
      </c>
      <c r="P81" s="20" t="str">
        <f t="shared" si="3"/>
        <v/>
      </c>
      <c r="Q81" s="20" t="str" cm="1">
        <f t="array" aca="1" ref="Q81" ca="1">CELL("address",O47)</f>
        <v>$O$47</v>
      </c>
      <c r="R81" s="20" t="b" cm="1">
        <f t="array" aca="1" ref="R81" ca="1">IF(AND(C93,LEN(TRIM(INDIRECT(Q81)))=0),FALSE,TRUE)</f>
        <v>1</v>
      </c>
    </row>
    <row r="82" spans="3:18" ht="15.45" hidden="1" customHeight="1">
      <c r="C82" s="502" t="b">
        <v>0</v>
      </c>
      <c r="E82" s="20" t="s">
        <v>854</v>
      </c>
      <c r="F82" s="20" t="str">
        <f t="shared" si="2"/>
        <v/>
      </c>
      <c r="M82" s="502" t="b">
        <v>0</v>
      </c>
      <c r="O82" s="20" t="s">
        <v>828</v>
      </c>
      <c r="P82" s="20" t="str">
        <f t="shared" si="3"/>
        <v/>
      </c>
      <c r="Q82" s="20" t="str" cm="1">
        <f t="array" aca="1" ref="Q82" ca="1">CELL("address",O61)</f>
        <v>$O$61</v>
      </c>
      <c r="R82" s="20" t="b" cm="1">
        <f t="array" aca="1" ref="R82" ca="1">IF(LOWER(TRIM($R$10))="senior high school",TRUE,IF(AND(M96,LEN(TRIM(INDIRECT(Q82)))=0),FALSE,TRUE))</f>
        <v>1</v>
      </c>
    </row>
    <row r="83" spans="3:18" ht="15.45" hidden="1" customHeight="1">
      <c r="C83" s="502" t="b">
        <v>0</v>
      </c>
      <c r="E83" s="20" t="s">
        <v>859</v>
      </c>
      <c r="F83" s="20" t="str">
        <f t="shared" si="2"/>
        <v/>
      </c>
      <c r="M83" s="502" t="b">
        <v>0</v>
      </c>
      <c r="O83" s="20" t="s">
        <v>982</v>
      </c>
      <c r="P83" s="20" t="str">
        <f t="shared" si="3"/>
        <v/>
      </c>
    </row>
    <row r="84" spans="3:18" ht="15.45" hidden="1" customHeight="1">
      <c r="C84" s="502" t="b">
        <v>0</v>
      </c>
      <c r="E84" s="20" t="s">
        <v>865</v>
      </c>
      <c r="F84" s="20" t="str">
        <f t="shared" si="2"/>
        <v/>
      </c>
      <c r="M84" s="502" t="b">
        <v>0</v>
      </c>
      <c r="O84" s="20" t="s">
        <v>866</v>
      </c>
      <c r="P84" s="20" t="str">
        <f t="shared" si="3"/>
        <v/>
      </c>
    </row>
    <row r="85" spans="3:18" ht="15.45" hidden="1" customHeight="1">
      <c r="C85" s="502" t="b">
        <v>0</v>
      </c>
      <c r="E85" s="20" t="s">
        <v>871</v>
      </c>
      <c r="F85" s="20" t="str">
        <f t="shared" si="2"/>
        <v/>
      </c>
      <c r="M85" s="502" t="b">
        <v>0</v>
      </c>
      <c r="O85" s="20" t="s">
        <v>969</v>
      </c>
      <c r="P85" s="20" t="str">
        <f t="shared" si="3"/>
        <v/>
      </c>
    </row>
    <row r="86" spans="3:18" ht="15.45" hidden="1" customHeight="1">
      <c r="C86" s="502" t="b">
        <v>0</v>
      </c>
      <c r="E86" s="20" t="s">
        <v>876</v>
      </c>
      <c r="F86" s="20" t="str">
        <f t="shared" si="2"/>
        <v/>
      </c>
      <c r="M86" s="502" t="b">
        <v>0</v>
      </c>
      <c r="O86" s="20" t="s">
        <v>877</v>
      </c>
      <c r="P86" s="20" t="str">
        <f t="shared" si="3"/>
        <v/>
      </c>
    </row>
    <row r="87" spans="3:18" ht="15.45" hidden="1" customHeight="1">
      <c r="C87" s="502" t="b">
        <v>0</v>
      </c>
      <c r="E87" s="20" t="s">
        <v>862</v>
      </c>
      <c r="F87" s="20" t="str">
        <f t="shared" si="2"/>
        <v/>
      </c>
      <c r="M87" s="502" t="b">
        <v>0</v>
      </c>
      <c r="O87" s="20" t="s">
        <v>971</v>
      </c>
      <c r="P87" s="20" t="str">
        <f t="shared" si="3"/>
        <v/>
      </c>
    </row>
    <row r="88" spans="3:18" ht="15.45" hidden="1" customHeight="1">
      <c r="C88" s="502" t="b">
        <v>0</v>
      </c>
      <c r="E88" s="20" t="s">
        <v>881</v>
      </c>
      <c r="F88" s="20" t="str">
        <f t="shared" si="2"/>
        <v/>
      </c>
      <c r="M88" s="502" t="b">
        <v>0</v>
      </c>
      <c r="O88" s="20" t="s">
        <v>965</v>
      </c>
      <c r="P88" s="20" t="str">
        <f t="shared" si="3"/>
        <v/>
      </c>
    </row>
    <row r="89" spans="3:18" ht="15.45" hidden="1" customHeight="1">
      <c r="C89" s="502" t="b">
        <v>0</v>
      </c>
      <c r="E89" s="20" t="s">
        <v>884</v>
      </c>
      <c r="F89" s="20" t="str">
        <f t="shared" si="2"/>
        <v/>
      </c>
      <c r="M89" s="502" t="b">
        <v>0</v>
      </c>
      <c r="O89" s="20" t="s">
        <v>966</v>
      </c>
      <c r="P89" s="20" t="str">
        <f t="shared" si="3"/>
        <v/>
      </c>
    </row>
    <row r="90" spans="3:18" ht="15.45" hidden="1" customHeight="1">
      <c r="C90" s="502" t="b">
        <v>0</v>
      </c>
      <c r="E90" s="20" t="s">
        <v>887</v>
      </c>
      <c r="F90" s="20" t="str">
        <f t="shared" si="2"/>
        <v/>
      </c>
      <c r="M90" s="502" t="b">
        <v>0</v>
      </c>
      <c r="O90" s="20" t="s">
        <v>967</v>
      </c>
      <c r="P90" s="20" t="str">
        <f t="shared" si="3"/>
        <v/>
      </c>
    </row>
    <row r="91" spans="3:18" ht="15.45" hidden="1" customHeight="1">
      <c r="C91" s="502" t="b">
        <v>0</v>
      </c>
      <c r="E91" s="20" t="s">
        <v>890</v>
      </c>
      <c r="F91" s="20" t="str">
        <f t="shared" si="2"/>
        <v/>
      </c>
      <c r="M91" s="502" t="b">
        <v>0</v>
      </c>
      <c r="O91" s="20" t="s">
        <v>893</v>
      </c>
      <c r="P91" s="20" t="str">
        <f t="shared" si="3"/>
        <v/>
      </c>
    </row>
    <row r="92" spans="3:18" ht="15.45" hidden="1" customHeight="1">
      <c r="C92" s="502" t="b">
        <v>0</v>
      </c>
      <c r="E92" s="20" t="s">
        <v>895</v>
      </c>
      <c r="F92" s="20" t="str">
        <f t="shared" si="2"/>
        <v/>
      </c>
      <c r="M92" s="502" t="b">
        <v>0</v>
      </c>
      <c r="O92" s="20" t="s">
        <v>896</v>
      </c>
      <c r="P92" s="20" t="str">
        <f t="shared" si="3"/>
        <v/>
      </c>
    </row>
    <row r="93" spans="3:18" ht="15.45" hidden="1" customHeight="1">
      <c r="C93" s="502" t="b">
        <v>1</v>
      </c>
      <c r="E93" s="20" t="str">
        <f>IF(ISBLANK(O47),"",O47)</f>
        <v>BUSINESS MATH, BUSINESS ETHICS, ENTREP</v>
      </c>
      <c r="F93" s="20" t="str">
        <f t="shared" si="2"/>
        <v>BUSINESS MATH, BUSINESS ETHICS, ENTREP</v>
      </c>
      <c r="M93" s="502" t="b">
        <v>0</v>
      </c>
      <c r="O93" s="20" t="s">
        <v>898</v>
      </c>
      <c r="P93" s="20" t="str">
        <f t="shared" si="3"/>
        <v/>
      </c>
    </row>
    <row r="94" spans="3:18" ht="15.45" hidden="1" customHeight="1">
      <c r="M94" s="502" t="b">
        <v>0</v>
      </c>
      <c r="O94" s="20" t="s">
        <v>900</v>
      </c>
      <c r="P94" s="20" t="str">
        <f t="shared" si="3"/>
        <v/>
      </c>
    </row>
    <row r="95" spans="3:18" ht="15.45" hidden="1" customHeight="1">
      <c r="M95" s="502" t="b">
        <v>0</v>
      </c>
      <c r="O95" s="20" t="s">
        <v>902</v>
      </c>
      <c r="P95" s="20" t="str">
        <f t="shared" si="3"/>
        <v/>
      </c>
    </row>
    <row r="96" spans="3:18" ht="15.45" hidden="1" customHeight="1">
      <c r="M96" s="502" t="b">
        <v>0</v>
      </c>
      <c r="O96" s="20" t="str">
        <f>IF(ISBLANK(O61),"",O61)</f>
        <v/>
      </c>
      <c r="P96" s="20" t="str">
        <f t="shared" si="3"/>
        <v/>
      </c>
    </row>
    <row r="97" spans="3:16" ht="15.45" hidden="1" customHeight="1"/>
    <row r="98" spans="3:16" ht="15.45" hidden="1" customHeight="1">
      <c r="E98" s="20" t="e" cm="1">
        <f t="array" aca="1" ref="E98" ca="1">Lookup_concat(TRUE,C77:C93,E77:E93)</f>
        <v>#NAME?</v>
      </c>
      <c r="O98" s="20" t="str" cm="1">
        <f t="array" aca="1" ref="O98" ca="1">IFERROR(IF(LOWER(TRIM($F$14))="community-based learning center","ALS",IF(LOWER(TRIM($R$10))="kindergarten","Kindergarten",Lookup_concat(TRUE,M77:M96,O77:O96))),"")</f>
        <v/>
      </c>
    </row>
    <row r="99" spans="3:16" ht="15.45" hidden="1" customHeight="1"/>
    <row r="100" spans="3:16" ht="15.45" hidden="1" customHeight="1"/>
    <row r="101" spans="3:16" ht="15.45" hidden="1" customHeight="1">
      <c r="E101" s="66" t="s">
        <v>983</v>
      </c>
      <c r="N101" s="66" t="s">
        <v>984</v>
      </c>
    </row>
    <row r="102" spans="3:16" ht="15.45" hidden="1" customHeight="1">
      <c r="C102" s="67" t="b">
        <v>0</v>
      </c>
      <c r="E102" s="68" t="s">
        <v>862</v>
      </c>
      <c r="M102" s="502" t="b">
        <v>1</v>
      </c>
      <c r="O102" s="20" t="s">
        <v>907</v>
      </c>
      <c r="P102" s="20" t="str">
        <f>IF(M102=TRUE,O102,"")</f>
        <v>ACAD-ABM</v>
      </c>
    </row>
    <row r="103" spans="3:16" ht="15.45" hidden="1" customHeight="1">
      <c r="C103" s="67" t="b">
        <v>0</v>
      </c>
      <c r="E103" s="68" t="s">
        <v>206</v>
      </c>
      <c r="M103" s="502" t="b">
        <v>1</v>
      </c>
      <c r="O103" s="20" t="s">
        <v>909</v>
      </c>
      <c r="P103" s="20" t="str">
        <f>IF(M103=FALSE,P102,IF(P102="",O103,P102&amp;", "&amp;O103))</f>
        <v>ACAD-ABM, ACAD-HUMSS</v>
      </c>
    </row>
    <row r="104" spans="3:16" ht="15.45" hidden="1" customHeight="1">
      <c r="C104" s="67" t="b">
        <v>0</v>
      </c>
      <c r="E104" s="68">
        <v>1</v>
      </c>
      <c r="M104" s="502" t="b">
        <v>0</v>
      </c>
      <c r="O104" s="20" t="s">
        <v>910</v>
      </c>
      <c r="P104" s="20" t="str">
        <f t="shared" ref="P104:P113" si="4">IF(M104=FALSE,P103,IF(P103="",O104,P103&amp;", "&amp;O104))</f>
        <v>ACAD-ABM, ACAD-HUMSS</v>
      </c>
    </row>
    <row r="105" spans="3:16" ht="15.45" hidden="1" customHeight="1">
      <c r="C105" s="67" t="b">
        <v>0</v>
      </c>
      <c r="E105" s="68">
        <v>2</v>
      </c>
      <c r="M105" s="502" t="b">
        <v>0</v>
      </c>
      <c r="O105" s="20" t="s">
        <v>911</v>
      </c>
      <c r="P105" s="20" t="str">
        <f t="shared" si="4"/>
        <v>ACAD-ABM, ACAD-HUMSS</v>
      </c>
    </row>
    <row r="106" spans="3:16" ht="15.45" hidden="1" customHeight="1">
      <c r="C106" s="67" t="b">
        <v>0</v>
      </c>
      <c r="E106" s="68">
        <v>3</v>
      </c>
      <c r="M106" s="502" t="b">
        <v>0</v>
      </c>
      <c r="O106" s="20" t="s">
        <v>912</v>
      </c>
      <c r="P106" s="20" t="str">
        <f t="shared" si="4"/>
        <v>ACAD-ABM, ACAD-HUMSS</v>
      </c>
    </row>
    <row r="107" spans="3:16" ht="15.45" hidden="1" customHeight="1">
      <c r="C107" s="67" t="b">
        <v>0</v>
      </c>
      <c r="E107" s="68">
        <v>4</v>
      </c>
      <c r="M107" s="502" t="b">
        <v>0</v>
      </c>
      <c r="O107" s="20" t="s">
        <v>913</v>
      </c>
      <c r="P107" s="20" t="str">
        <f t="shared" si="4"/>
        <v>ACAD-ABM, ACAD-HUMSS</v>
      </c>
    </row>
    <row r="108" spans="3:16" ht="15.45" hidden="1" customHeight="1">
      <c r="C108" s="67" t="b">
        <v>0</v>
      </c>
      <c r="E108" s="68">
        <v>5</v>
      </c>
      <c r="M108" s="502" t="b">
        <v>1</v>
      </c>
      <c r="O108" s="20" t="s">
        <v>915</v>
      </c>
      <c r="P108" s="20" t="str">
        <f t="shared" si="4"/>
        <v>ACAD-ABM, ACAD-HUMSS, TVL-HE</v>
      </c>
    </row>
    <row r="109" spans="3:16" ht="15.45" hidden="1" customHeight="1">
      <c r="C109" s="67" t="b">
        <v>0</v>
      </c>
      <c r="E109" s="68">
        <v>6</v>
      </c>
      <c r="M109" s="502" t="b">
        <v>0</v>
      </c>
      <c r="O109" s="20" t="s">
        <v>917</v>
      </c>
      <c r="P109" s="20" t="str">
        <f t="shared" si="4"/>
        <v>ACAD-ABM, ACAD-HUMSS, TVL-HE</v>
      </c>
    </row>
    <row r="110" spans="3:16" ht="15.45" hidden="1" customHeight="1">
      <c r="C110" s="67" t="b">
        <v>0</v>
      </c>
      <c r="E110" s="68" t="s">
        <v>869</v>
      </c>
      <c r="M110" s="502" t="b">
        <v>0</v>
      </c>
      <c r="O110" s="20" t="s">
        <v>918</v>
      </c>
      <c r="P110" s="20" t="str">
        <f t="shared" si="4"/>
        <v>ACAD-ABM, ACAD-HUMSS, TVL-HE</v>
      </c>
    </row>
    <row r="111" spans="3:16" ht="15.45" hidden="1" customHeight="1">
      <c r="C111" s="67" t="b">
        <v>0</v>
      </c>
      <c r="E111" s="68" t="s">
        <v>862</v>
      </c>
      <c r="M111" s="502" t="b">
        <v>0</v>
      </c>
      <c r="O111" s="20" t="s">
        <v>919</v>
      </c>
      <c r="P111" s="20" t="str">
        <f t="shared" si="4"/>
        <v>ACAD-ABM, ACAD-HUMSS, TVL-HE</v>
      </c>
    </row>
    <row r="112" spans="3:16" ht="15.45" hidden="1" customHeight="1">
      <c r="C112" s="67" t="b">
        <v>0</v>
      </c>
      <c r="E112" s="68">
        <v>7</v>
      </c>
      <c r="M112" s="502" t="b">
        <v>0</v>
      </c>
      <c r="O112" s="20" t="s">
        <v>920</v>
      </c>
      <c r="P112" s="20" t="str">
        <f t="shared" si="4"/>
        <v>ACAD-ABM, ACAD-HUMSS, TVL-HE</v>
      </c>
    </row>
    <row r="113" spans="3:18" ht="15.45" hidden="1" customHeight="1">
      <c r="C113" s="67" t="b">
        <v>0</v>
      </c>
      <c r="E113" s="68">
        <v>8</v>
      </c>
      <c r="M113" s="502" t="b">
        <v>0</v>
      </c>
      <c r="O113" s="20" t="s">
        <v>973</v>
      </c>
      <c r="P113" s="20" t="str">
        <f t="shared" si="4"/>
        <v>ACAD-ABM, ACAD-HUMSS, TVL-HE</v>
      </c>
    </row>
    <row r="114" spans="3:18" ht="15.45" hidden="1" customHeight="1">
      <c r="C114" s="67" t="b">
        <v>0</v>
      </c>
      <c r="E114" s="68">
        <v>9</v>
      </c>
    </row>
    <row r="115" spans="3:18" ht="15.45" hidden="1" customHeight="1">
      <c r="C115" s="67" t="b">
        <v>0</v>
      </c>
      <c r="E115" s="68">
        <v>10</v>
      </c>
      <c r="O115" s="20" t="e" cm="1">
        <f t="array" aca="1" ref="O115" ca="1">Lookup_concat(TRUE,M102:M113,O102:O113)</f>
        <v>#NAME?</v>
      </c>
    </row>
    <row r="116" spans="3:18" ht="15.45" hidden="1" customHeight="1">
      <c r="C116" s="67" t="b">
        <v>0</v>
      </c>
      <c r="E116" s="68" t="s">
        <v>869</v>
      </c>
    </row>
    <row r="117" spans="3:18" ht="15.45" hidden="1" customHeight="1">
      <c r="C117" s="67" t="b">
        <v>0</v>
      </c>
      <c r="E117" s="68">
        <v>11</v>
      </c>
    </row>
    <row r="118" spans="3:18" ht="15.45" hidden="1" customHeight="1">
      <c r="C118" s="67" t="b">
        <v>0</v>
      </c>
      <c r="E118" s="68">
        <v>12</v>
      </c>
    </row>
    <row r="119" spans="3:18" ht="15.45" hidden="1" customHeight="1">
      <c r="C119" s="67" t="b">
        <v>0</v>
      </c>
      <c r="E119" s="68" t="s">
        <v>869</v>
      </c>
    </row>
    <row r="120" spans="3:18" ht="15.45" hidden="1" customHeight="1">
      <c r="E120" s="68"/>
    </row>
    <row r="121" spans="3:18" ht="15.45" hidden="1" customHeight="1">
      <c r="E121" s="68" t="str" cm="1">
        <f t="array" aca="1" ref="E121" ca="1">IFERROR(IF(LOWER(TRIM($F$14))="community-based learning center",demographics_level,IF(LOWER(TRIM(demographics_level))="kindergarten","Kindergarten",IF(LOWER(TRIM(demographics_level))="elementary",Lookup_concat(TRUE,C102:C109,E102:E109,INT(C110)),IF(LOWER(TRIM(demographics_level))="junior high school",Lookup_concat(TRUE,C111:C115,E111:E115,INT(C116)),IF(LOWER(TRIM(demographics_level))="senior high school",Lookup_concat(TRUE,C117:C118,E117:E118,INT(C119)),""))))),"")</f>
        <v/>
      </c>
    </row>
    <row r="122" spans="3:18" ht="15.45" hidden="1" customHeight="1"/>
    <row r="123" spans="3:18" ht="15.45" hidden="1" customHeight="1">
      <c r="F123" s="20" t="s">
        <v>985</v>
      </c>
    </row>
    <row r="124" spans="3:18" ht="15.45" hidden="1" customHeight="1">
      <c r="E124" s="69" t="s">
        <v>986</v>
      </c>
      <c r="F124" s="70" t="b">
        <f ca="1">AND(NOT(ISBLANK(TRIM(F7))),V3)</f>
        <v>1</v>
      </c>
      <c r="G124" s="70"/>
      <c r="H124" s="70"/>
      <c r="I124" s="70"/>
      <c r="J124" s="70"/>
      <c r="K124" s="70"/>
      <c r="L124" s="70"/>
      <c r="M124" s="71" t="s">
        <v>987</v>
      </c>
      <c r="N124" s="72" t="b">
        <f>LEN(TRIM(N7))&gt;0</f>
        <v>1</v>
      </c>
      <c r="O124" s="70"/>
      <c r="P124" s="70"/>
      <c r="Q124" s="70" t="s">
        <v>988</v>
      </c>
      <c r="R124" s="70" t="b">
        <f ca="1">AND(NOT(ISBLANK(TRIM(R7))),V12)</f>
        <v>1</v>
      </c>
    </row>
    <row r="125" spans="3:18" ht="15.45" hidden="1" customHeight="1">
      <c r="E125" s="69" t="s">
        <v>989</v>
      </c>
      <c r="F125" s="70" t="b">
        <f ca="1">AND(NOT(ISBLANK(TRIM(F8))),V4)</f>
        <v>0</v>
      </c>
      <c r="G125" s="70"/>
      <c r="H125" s="70"/>
      <c r="I125" s="70"/>
      <c r="J125" s="70"/>
      <c r="K125" s="70"/>
      <c r="L125" s="70"/>
      <c r="M125" s="71" t="s">
        <v>990</v>
      </c>
      <c r="N125" s="72" t="b">
        <f t="shared" ref="N125" si="5">LEN(TRIM(N8))&gt;0</f>
        <v>1</v>
      </c>
      <c r="O125" s="70"/>
      <c r="P125" s="70"/>
      <c r="Q125" s="70" t="s">
        <v>991</v>
      </c>
      <c r="R125" s="70" t="b">
        <f ca="1">AND(NOT(ISBLANK(TRIM(R8))),V13)</f>
        <v>1</v>
      </c>
    </row>
    <row r="126" spans="3:18" ht="15.45" hidden="1" customHeight="1">
      <c r="E126" s="69" t="s">
        <v>992</v>
      </c>
      <c r="F126" s="70" t="b">
        <f>LEN(TRIM(F9))&gt;0</f>
        <v>1</v>
      </c>
      <c r="G126" s="70"/>
      <c r="H126" s="70"/>
      <c r="I126" s="70"/>
      <c r="J126" s="70"/>
      <c r="K126" s="70"/>
      <c r="L126" s="70"/>
      <c r="M126" s="71" t="s">
        <v>993</v>
      </c>
      <c r="N126" s="72" t="b">
        <v>1</v>
      </c>
      <c r="O126" s="70"/>
      <c r="P126" s="70"/>
      <c r="Q126" s="70"/>
      <c r="R126" s="70" t="b">
        <v>1</v>
      </c>
    </row>
    <row r="127" spans="3:18" ht="15.45" hidden="1" customHeight="1">
      <c r="E127" s="69" t="s">
        <v>994</v>
      </c>
      <c r="F127" s="70" t="b">
        <v>0</v>
      </c>
      <c r="G127" s="70"/>
      <c r="H127" s="70"/>
      <c r="I127" s="70"/>
      <c r="J127" s="70"/>
      <c r="K127" s="70"/>
      <c r="L127" s="70"/>
      <c r="M127" s="71" t="s">
        <v>995</v>
      </c>
      <c r="N127" s="72" t="b">
        <f>LEN(TRIM(N10))&gt;0</f>
        <v>1</v>
      </c>
      <c r="O127" s="70"/>
      <c r="P127" s="70"/>
      <c r="Q127" s="70" t="s">
        <v>996</v>
      </c>
      <c r="R127" s="70" t="b">
        <f ca="1">AND(NOT(ISBLANK(TRIM(R10))),V14)</f>
        <v>0</v>
      </c>
    </row>
    <row r="128" spans="3:18" ht="15.45" hidden="1" customHeight="1">
      <c r="E128" s="69" t="s">
        <v>997</v>
      </c>
      <c r="F128" s="70" t="b">
        <f t="shared" ref="F128" si="6">LEN(TRIM(F11))&gt;0</f>
        <v>1</v>
      </c>
      <c r="G128" s="70"/>
      <c r="H128" s="70"/>
      <c r="I128" s="70"/>
      <c r="J128" s="70"/>
      <c r="K128" s="70"/>
      <c r="L128" s="70"/>
      <c r="M128" s="71" t="s">
        <v>998</v>
      </c>
      <c r="N128" s="72" t="b">
        <f ca="1">AND(NOT(ISBLANK(TRIM(N11))),V8)</f>
        <v>0</v>
      </c>
      <c r="O128" s="70"/>
      <c r="P128" s="70"/>
      <c r="Q128" s="70" t="s">
        <v>999</v>
      </c>
      <c r="R128" s="70" t="b">
        <f>AND(LEN(TRIM(demographics_email))&gt;0,ISNUMBER(SEARCH("@deped.gov.ph",demographics_email)))</f>
        <v>1</v>
      </c>
    </row>
    <row r="129" spans="5:18" ht="15.45" hidden="1" customHeight="1">
      <c r="E129" s="69" t="s">
        <v>1000</v>
      </c>
      <c r="F129" s="70" t="b">
        <v>0</v>
      </c>
      <c r="G129" s="70"/>
      <c r="H129" s="70"/>
      <c r="I129" s="70"/>
      <c r="J129" s="70"/>
      <c r="K129" s="70"/>
      <c r="L129" s="70"/>
      <c r="M129" s="71" t="s">
        <v>1001</v>
      </c>
      <c r="N129" s="72" t="b">
        <f ca="1">AND(NOT(ISBLANK(TRIM(N12))),V9)</f>
        <v>1</v>
      </c>
      <c r="O129" s="70"/>
      <c r="P129" s="70"/>
      <c r="Q129" s="70" t="s">
        <v>951</v>
      </c>
      <c r="R129" s="70" t="b">
        <v>0</v>
      </c>
    </row>
    <row r="130" spans="5:18" ht="15.45" hidden="1" customHeight="1">
      <c r="E130" s="69" t="s">
        <v>1002</v>
      </c>
      <c r="F130" s="70" t="b">
        <v>0</v>
      </c>
      <c r="G130" s="70"/>
      <c r="H130" s="70"/>
      <c r="I130" s="70"/>
      <c r="J130" s="70"/>
      <c r="K130" s="70"/>
      <c r="L130" s="70"/>
      <c r="M130" s="71" t="s">
        <v>1003</v>
      </c>
      <c r="N130" s="72" t="b">
        <f ca="1">AND(NOT(ISBLANK(TRIM(N13))),V10)</f>
        <v>1</v>
      </c>
      <c r="O130" s="70"/>
      <c r="P130" s="70"/>
      <c r="Q130" s="70"/>
      <c r="R130" s="70"/>
    </row>
    <row r="131" spans="5:18" ht="15.45" hidden="1" customHeight="1">
      <c r="E131" s="69" t="s">
        <v>1004</v>
      </c>
      <c r="F131" s="70" t="b">
        <f ca="1">AND(NOT(ISBLANK(TRIM(F14))),V7)</f>
        <v>0</v>
      </c>
      <c r="G131" s="70"/>
      <c r="H131" s="70"/>
      <c r="I131" s="70"/>
      <c r="J131" s="70"/>
      <c r="K131" s="70"/>
      <c r="L131" s="70"/>
      <c r="M131" s="71" t="s">
        <v>1005</v>
      </c>
      <c r="N131" s="72" t="b">
        <f ca="1">AND(NOT(ISBLANK(TRIM(N14))),V11)</f>
        <v>1</v>
      </c>
      <c r="O131" s="70"/>
      <c r="P131" s="70"/>
      <c r="Q131" s="70"/>
      <c r="R131" s="70"/>
    </row>
    <row r="132" spans="5:18" ht="15.45" hidden="1" customHeight="1">
      <c r="F132" s="70"/>
      <c r="G132" s="70"/>
      <c r="H132" s="70"/>
      <c r="I132" s="70"/>
      <c r="J132" s="70"/>
      <c r="K132" s="70"/>
      <c r="L132" s="70"/>
      <c r="M132" s="70"/>
      <c r="N132" s="72"/>
      <c r="O132" s="70"/>
      <c r="P132" s="70"/>
      <c r="Q132" s="70"/>
      <c r="R132" s="70"/>
    </row>
    <row r="134" spans="5:18" ht="24.45" customHeight="1"/>
    <row r="136" spans="5:18" ht="19.95" customHeight="1"/>
    <row r="140" spans="5:18" ht="15.45" hidden="1" customHeight="1"/>
    <row r="142" spans="5:18" ht="15.45" customHeight="1">
      <c r="E142" s="73"/>
    </row>
    <row r="143" spans="5:18" ht="15.45" hidden="1" customHeight="1">
      <c r="E143" s="73"/>
    </row>
    <row r="144" spans="5:18" ht="15.45" customHeight="1">
      <c r="E144" s="73"/>
    </row>
    <row r="145" spans="5:5" ht="15.45" customHeight="1">
      <c r="E145" s="73"/>
    </row>
    <row r="146" spans="5:5" ht="15.45" customHeight="1">
      <c r="E146" s="73"/>
    </row>
    <row r="147" spans="5:5" ht="15.45" customHeight="1">
      <c r="E147" s="73"/>
    </row>
    <row r="148" spans="5:5" ht="15.45" customHeight="1">
      <c r="E148" s="73"/>
    </row>
    <row r="149" spans="5:5" ht="15.45" customHeight="1">
      <c r="E149" s="73"/>
    </row>
    <row r="150" spans="5:5" ht="15.45" customHeight="1">
      <c r="E150" s="73"/>
    </row>
    <row r="151" spans="5:5" ht="15.45" customHeight="1">
      <c r="E151" s="73"/>
    </row>
    <row r="152" spans="5:5" ht="15.45" customHeight="1">
      <c r="E152" s="73"/>
    </row>
    <row r="153" spans="5:5" ht="15.45" customHeight="1">
      <c r="E153" s="73"/>
    </row>
    <row r="154" spans="5:5" ht="15.45" customHeight="1">
      <c r="E154" s="73"/>
    </row>
  </sheetData>
  <sheetProtection algorithmName="SHA-512" hashValue="UKooa6B+8VBk6MCQgeK+jTfxRfBDAUu6Fo4RKYZoJcjnuF6gnOBc9JbjNZCGz8l4CRT/+XQGDVvvnIhpq1W+3A==" saltValue="349JMz+ECg1jjC4+ezTWxA==" spinCount="100000" sheet="1" objects="1" scenarios="1" selectLockedCells="1"/>
  <mergeCells count="43">
    <mergeCell ref="H32:P33"/>
    <mergeCell ref="B37:C37"/>
    <mergeCell ref="H37:P38"/>
    <mergeCell ref="H49:P50"/>
    <mergeCell ref="H63:P64"/>
    <mergeCell ref="H25:P26"/>
    <mergeCell ref="B12:E12"/>
    <mergeCell ref="F12:I12"/>
    <mergeCell ref="K12:M12"/>
    <mergeCell ref="N12:O12"/>
    <mergeCell ref="B13:E13"/>
    <mergeCell ref="F13:I13"/>
    <mergeCell ref="K13:M13"/>
    <mergeCell ref="N13:O13"/>
    <mergeCell ref="B14:E14"/>
    <mergeCell ref="F14:I14"/>
    <mergeCell ref="K14:M14"/>
    <mergeCell ref="N14:O14"/>
    <mergeCell ref="H17:P18"/>
    <mergeCell ref="B10:E10"/>
    <mergeCell ref="F10:I10"/>
    <mergeCell ref="K10:M10"/>
    <mergeCell ref="N10:O10"/>
    <mergeCell ref="B11:E11"/>
    <mergeCell ref="F11:I11"/>
    <mergeCell ref="K11:M11"/>
    <mergeCell ref="N11:O11"/>
    <mergeCell ref="B8:E8"/>
    <mergeCell ref="F8:I8"/>
    <mergeCell ref="K8:M8"/>
    <mergeCell ref="N8:O8"/>
    <mergeCell ref="Q8:Q9"/>
    <mergeCell ref="B9:E9"/>
    <mergeCell ref="F9:I9"/>
    <mergeCell ref="K9:M9"/>
    <mergeCell ref="N9:O9"/>
    <mergeCell ref="B1:S1"/>
    <mergeCell ref="B2:S2"/>
    <mergeCell ref="B3:S3"/>
    <mergeCell ref="B7:E7"/>
    <mergeCell ref="F7:I7"/>
    <mergeCell ref="K7:M7"/>
    <mergeCell ref="N7:O7"/>
  </mergeCells>
  <conditionalFormatting sqref="O47 O61 N7:O14 R7:R12 F7:I13">
    <cfRule type="expression" dxfId="68" priority="5" stopIfTrue="1">
      <formula>TRUE</formula>
    </cfRule>
  </conditionalFormatting>
  <conditionalFormatting sqref="N7:N14 R7:R12 F7:F14">
    <cfRule type="expression" dxfId="67" priority="3">
      <formula>AND($C$75,NOT(F124))</formula>
    </cfRule>
  </conditionalFormatting>
  <conditionalFormatting sqref="O47 O61">
    <cfRule type="expression" dxfId="66" priority="4">
      <formula>AND($C$75,NOT(V47))</formula>
    </cfRule>
  </conditionalFormatting>
  <conditionalFormatting sqref="A1:XFD1048576">
    <cfRule type="expression" dxfId="65" priority="6">
      <formula>selected_career_stage="Distinguished"</formula>
    </cfRule>
    <cfRule type="expression" dxfId="64" priority="7">
      <formula>selected_career_stage="Highly Proficient"</formula>
    </cfRule>
    <cfRule type="expression" dxfId="63" priority="8">
      <formula>selected_career_stage="Proficient"</formula>
    </cfRule>
    <cfRule type="expression" dxfId="62" priority="9">
      <formula>selected_career_stage="Beginning towards Proficient"</formula>
    </cfRule>
  </conditionalFormatting>
  <conditionalFormatting sqref="K7:O10 Q10:R10 B14:I14">
    <cfRule type="expression" dxfId="61" priority="2" stopIfTrue="1">
      <formula>profile_name_locked</formula>
    </cfRule>
  </conditionalFormatting>
  <conditionalFormatting sqref="B13:I13">
    <cfRule type="expression" dxfId="60" priority="1" stopIfTrue="1">
      <formula>profile_name_locked</formula>
    </cfRule>
  </conditionalFormatting>
  <dataValidations count="21">
    <dataValidation allowBlank="1" showInputMessage="1" showErrorMessage="1" errorTitle="Invalid" error="Please select from the available drop-down options." promptTitle="Curricular Offering" prompt="Select from the drop-down options." sqref="F14:I14" xr:uid="{C07EF10E-F822-4ED6-97D6-ABAD530A03F3}"/>
    <dataValidation allowBlank="1" showInputMessage="1" showErrorMessage="1" errorTitle="Invalid Input" error="Your ID number must be at least 6 digits/characters long." promptTitle="Employee ID" prompt="Type your DepEd Employee ID Number. Leave this blank if you have none." sqref="N10:O10" xr:uid="{66961D6D-F155-40A8-AF05-C276370EFCBD}"/>
    <dataValidation type="list" allowBlank="1" showInputMessage="1" showErrorMessage="1" errorTitle="Invalid" error="Please select from the available drop-down options." promptTitle="Age" prompt="Select from the drop-down options." sqref="N13" xr:uid="{082BD42B-1E96-4400-8FD9-A0C00579CCA0}">
      <formula1>age_list</formula1>
    </dataValidation>
    <dataValidation type="list" allowBlank="1" showInputMessage="1" showErrorMessage="1" errorTitle="Invalid" error="Please select from the available drop-down options." promptTitle="Employment Status" prompt="Select from the drop-down options." sqref="N12" xr:uid="{5ABD6785-9C9E-4989-B29B-AEE24DFF86D3}">
      <formula1>emp_status_list</formula1>
    </dataValidation>
    <dataValidation type="list" allowBlank="1" showInputMessage="1" showErrorMessage="1" errorTitle="Invalid" error="Please select from the available drop-down options." promptTitle="Position" prompt="Select from the drop-down options." sqref="N11:O11" xr:uid="{1B91B652-1B79-4FAD-8C23-5411CAB44795}">
      <formula1>IF(selected_career_stage="Beginning towards Proficient",BtP_positions,IF(selected_career_stage="Proficient",P_positions,IF(selected_career_stage="Highly Proficient",HP_positions,D_positions)))</formula1>
    </dataValidation>
    <dataValidation type="list" allowBlank="1" showInputMessage="1" showErrorMessage="1" errorTitle="Invalid" error="Please select from the available drop-down options." promptTitle="Highest Degree Obtained" prompt="Select from the drop-down options." sqref="R8" xr:uid="{661D9814-4D28-4D29-9AEA-B9007C3CD2F5}">
      <formula1>degree_list</formula1>
    </dataValidation>
    <dataValidation type="list" allowBlank="1" showInputMessage="1" showErrorMessage="1" errorTitle="Invalid" error="Please select from the available drop-down options." promptTitle="Sex" prompt="Select from the drop-down options." sqref="N14" xr:uid="{DD38FE07-6C2E-40A8-8C3C-B6D1BA1D4A06}">
      <formula1>sex_list</formula1>
    </dataValidation>
    <dataValidation type="list" allowBlank="1" showInputMessage="1" showErrorMessage="1" errorTitle="Invalid" error="Please select from the available drop-down options." promptTitle="Years in Teaching" prompt="(Public and Private)_x000a_Select from the drop-down options." sqref="R7" xr:uid="{4FAC83A8-36AF-40C2-9D66-B18F23D75BE9}">
      <formula1>years_in_teaching</formula1>
    </dataValidation>
    <dataValidation type="textLength" allowBlank="1" showInputMessage="1" showErrorMessage="1" errorTitle="Invalid" error="Your input is either too short or too long." promptTitle="School Name" prompt="Type in the name of your school." sqref="F10:I10" xr:uid="{3326CAA1-4D6C-4CD0-AFEA-1FBD6C6CA67D}">
      <formula1>3</formula1>
      <formula2>256</formula2>
    </dataValidation>
    <dataValidation allowBlank="1" showInputMessage="1" showErrorMessage="1" promptTitle="Degree Obtained" prompt="Please specify." sqref="R9" xr:uid="{6E30B139-8A11-4B66-ABEE-A6733B322949}"/>
    <dataValidation type="whole" allowBlank="1" showInputMessage="1" showErrorMessage="1" errorTitle="Validation Error" error="Value should be between 3 to 7." sqref="N35 L47" xr:uid="{ED3DF4AD-CFDC-4EE6-A336-C4D88153D465}">
      <formula1>3</formula1>
      <formula2>7</formula2>
    </dataValidation>
    <dataValidation type="list" allowBlank="1" showInputMessage="1" showErrorMessage="1" errorTitle="Invalid" error="Please select from the available drop-down options." promptTitle="School Size" prompt="Select from the drop-down options." sqref="F12:I12" xr:uid="{BE05AF24-E017-4651-B1F7-7894DA4C535D}">
      <formula1>school_size_list</formula1>
    </dataValidation>
    <dataValidation type="list" allowBlank="1" showInputMessage="1" showErrorMessage="1" errorTitle="Invalid" error="Please select from the available drop-down options." promptTitle="School Type" prompt="Select from the drop-down options." sqref="F11:I11" xr:uid="{587177DF-CB5B-47CF-A470-28BA33E188B0}">
      <formula1>school_type_list</formula1>
    </dataValidation>
    <dataValidation type="list" allowBlank="1" showInputMessage="1" showErrorMessage="1" errorTitle="Invalid" error="Please select from the available drop-down options." promptTitle="Curricular Offering" prompt="Select from the drop-down options." sqref="F13:I13" xr:uid="{302D2129-D617-44B0-8701-EE445775B4C4}">
      <formula1>curricular_classification_list</formula1>
    </dataValidation>
    <dataValidation type="list" allowBlank="1" showInputMessage="1" showErrorMessage="1" errorTitle="Invalid" error="Please select from the available drop-down options." promptTitle="Region" prompt="Select from the drop-down options." sqref="F7:I7" xr:uid="{E7852288-C8FE-4185-9CA6-D0DC72B80108}">
      <formula1>regions_list</formula1>
    </dataValidation>
    <dataValidation type="whole" allowBlank="1" showInputMessage="1" showErrorMessage="1" errorTitle="Invalid School ID" error="Your input does not conform to the standard DepEd school ID." promptTitle="School ID" prompt="Type in your school ID. If your school does not have an ID yet, please use the ID of your mother school." sqref="F9:I9" xr:uid="{AEEACEB1-D037-4B73-9171-AE07E339B4B8}">
      <formula1>100000</formula1>
      <formula2>699999</formula2>
    </dataValidation>
    <dataValidation type="list" allowBlank="1" showInputMessage="1" showErrorMessage="1" promptTitle="Division" prompt="Select from the drop-down options." sqref="F8:I8" xr:uid="{B1D3B763-4557-4011-947B-7F8EF8ACA64E}">
      <formula1>INDIRECT(VLOOKUP($F$7,regions_vlookup,3,FALSE))</formula1>
    </dataValidation>
    <dataValidation type="list" allowBlank="1" showInputMessage="1" showErrorMessage="1" errorTitle="Invalid Input" error="Please select from the drop-down options." promptTitle="Level Taught" prompt="Select from the drop-down options." sqref="R10" xr:uid="{E8AFB4C9-7806-43D8-8A0E-963C9A801E89}">
      <formula1>INDIRECT(VLOOKUP($F$13,curricular_classification_vlookup,2,FALSE))</formula1>
    </dataValidation>
    <dataValidation allowBlank="1" errorTitle="Invalid Name" error="Your input is either too short or too long." sqref="N7:O9" xr:uid="{D27264EE-E7DC-4C29-9B3B-A78E68C339BA}"/>
    <dataValidation allowBlank="1" showInputMessage="1" showErrorMessage="1" promptTitle="DepEd Email Address" prompt="Input your valid DepEd Email Address. Leave blank if you have none." sqref="R11" xr:uid="{ACB0A18A-C92E-4AC2-8CF5-F5F0B721B27D}"/>
    <dataValidation type="whole" allowBlank="1" showInputMessage="1" showErrorMessage="1" promptTitle="TIN" prompt="Input your Tax Identification Number (TIN)._x000a__x000a_ex: 123456789_x000a_9-digit TIN without spaces or dashes" sqref="R12" xr:uid="{6FDF007D-C873-4EA7-9416-7443A2EFA13A}">
      <formula1>100000000</formula1>
      <formula2>999999999</formula2>
    </dataValidation>
  </dataValidations>
  <pageMargins left="0.7" right="0.7" top="0.75" bottom="0.75" header="0.3" footer="0.3"/>
  <pageSetup scale="25" orientation="landscape"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ackToStart">
              <controlPr defaultSize="0" print="0" autoFill="0" autoPict="0" macro="[0]!prevPage">
                <anchor moveWithCells="1" sizeWithCells="1">
                  <from>
                    <xdr:col>8</xdr:col>
                    <xdr:colOff>967740</xdr:colOff>
                    <xdr:row>133</xdr:row>
                    <xdr:rowOff>99060</xdr:rowOff>
                  </from>
                  <to>
                    <xdr:col>12</xdr:col>
                    <xdr:colOff>289560</xdr:colOff>
                    <xdr:row>136</xdr:row>
                    <xdr:rowOff>76200</xdr:rowOff>
                  </to>
                </anchor>
              </controlPr>
            </control>
          </mc:Choice>
        </mc:AlternateContent>
        <mc:AlternateContent xmlns:mc="http://schemas.openxmlformats.org/markup-compatibility/2006">
          <mc:Choice Requires="x14">
            <control shapeId="25602" r:id="rId5" name="ToPart2">
              <controlPr defaultSize="0" print="0" autoFill="0" autoPict="0" macro="[0]!nextPage">
                <anchor moveWithCells="1" sizeWithCells="1">
                  <from>
                    <xdr:col>13</xdr:col>
                    <xdr:colOff>60960</xdr:colOff>
                    <xdr:row>133</xdr:row>
                    <xdr:rowOff>99060</xdr:rowOff>
                  </from>
                  <to>
                    <xdr:col>14</xdr:col>
                    <xdr:colOff>1371600</xdr:colOff>
                    <xdr:row>136</xdr:row>
                    <xdr:rowOff>76200</xdr:rowOff>
                  </to>
                </anchor>
              </controlPr>
            </control>
          </mc:Choice>
        </mc:AlternateContent>
        <mc:AlternateContent xmlns:mc="http://schemas.openxmlformats.org/markup-compatibility/2006">
          <mc:Choice Requires="x14">
            <control shapeId="25603" r:id="rId6" name="elembox_01">
              <controlPr defaultSize="0" autoFill="0" autoLine="0" autoPict="0">
                <anchor moveWithCells="1">
                  <from>
                    <xdr:col>7</xdr:col>
                    <xdr:colOff>22860</xdr:colOff>
                    <xdr:row>18</xdr:row>
                    <xdr:rowOff>15240</xdr:rowOff>
                  </from>
                  <to>
                    <xdr:col>9</xdr:col>
                    <xdr:colOff>0</xdr:colOff>
                    <xdr:row>36</xdr:row>
                    <xdr:rowOff>0</xdr:rowOff>
                  </to>
                </anchor>
              </controlPr>
            </control>
          </mc:Choice>
        </mc:AlternateContent>
        <mc:AlternateContent xmlns:mc="http://schemas.openxmlformats.org/markup-compatibility/2006">
          <mc:Choice Requires="x14">
            <control shapeId="25604" r:id="rId7" name="elembox_02">
              <controlPr defaultSize="0" autoFill="0" autoLine="0" autoPict="0">
                <anchor moveWithCells="1">
                  <from>
                    <xdr:col>7</xdr:col>
                    <xdr:colOff>22860</xdr:colOff>
                    <xdr:row>19</xdr:row>
                    <xdr:rowOff>15240</xdr:rowOff>
                  </from>
                  <to>
                    <xdr:col>9</xdr:col>
                    <xdr:colOff>0</xdr:colOff>
                    <xdr:row>36</xdr:row>
                    <xdr:rowOff>0</xdr:rowOff>
                  </to>
                </anchor>
              </controlPr>
            </control>
          </mc:Choice>
        </mc:AlternateContent>
        <mc:AlternateContent xmlns:mc="http://schemas.openxmlformats.org/markup-compatibility/2006">
          <mc:Choice Requires="x14">
            <control shapeId="25605" r:id="rId8" name="elembox_03">
              <controlPr defaultSize="0" autoFill="0" autoLine="0" autoPict="0">
                <anchor moveWithCells="1">
                  <from>
                    <xdr:col>7</xdr:col>
                    <xdr:colOff>22860</xdr:colOff>
                    <xdr:row>20</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06" r:id="rId9" name="elembox_04">
              <controlPr defaultSize="0" autoFill="0" autoLine="0" autoPict="0">
                <anchor moveWithCells="1">
                  <from>
                    <xdr:col>7</xdr:col>
                    <xdr:colOff>22860</xdr:colOff>
                    <xdr:row>21</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07" r:id="rId10" name="elembox_05">
              <controlPr defaultSize="0" autoFill="0" autoLine="0" autoPict="0">
                <anchor moveWithCells="1">
                  <from>
                    <xdr:col>7</xdr:col>
                    <xdr:colOff>22860</xdr:colOff>
                    <xdr:row>22</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08" r:id="rId11" name="elembox_06">
              <controlPr defaultSize="0" autoFill="0" autoLine="0" autoPict="0">
                <anchor moveWithCells="1">
                  <from>
                    <xdr:col>13</xdr:col>
                    <xdr:colOff>22860</xdr:colOff>
                    <xdr:row>18</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09" r:id="rId12" name="elembox_07">
              <controlPr defaultSize="0" autoFill="0" autoLine="0" autoPict="0">
                <anchor moveWithCells="1">
                  <from>
                    <xdr:col>13</xdr:col>
                    <xdr:colOff>22860</xdr:colOff>
                    <xdr:row>19</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0" r:id="rId13" name="elembox_08">
              <controlPr defaultSize="0" autoFill="0" autoLine="0" autoPict="0">
                <anchor moveWithCells="1">
                  <from>
                    <xdr:col>13</xdr:col>
                    <xdr:colOff>22860</xdr:colOff>
                    <xdr:row>20</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1" r:id="rId14" name="elembox_09">
              <controlPr defaultSize="0" autoFill="0" autoLine="0" autoPict="0">
                <anchor moveWithCells="1">
                  <from>
                    <xdr:col>13</xdr:col>
                    <xdr:colOff>22860</xdr:colOff>
                    <xdr:row>21</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2" r:id="rId15" name="jhsbox_01">
              <controlPr defaultSize="0" autoFill="0" autoLine="0" autoPict="0">
                <anchor moveWithCells="1">
                  <from>
                    <xdr:col>7</xdr:col>
                    <xdr:colOff>22860</xdr:colOff>
                    <xdr:row>26</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13" r:id="rId16" name="jhsbox_02">
              <controlPr defaultSize="0" autoFill="0" autoLine="0" autoPict="0">
                <anchor moveWithCells="1">
                  <from>
                    <xdr:col>7</xdr:col>
                    <xdr:colOff>22860</xdr:colOff>
                    <xdr:row>27</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14" r:id="rId17" name="jhsbox_03">
              <controlPr defaultSize="0" autoFill="0" autoLine="0" autoPict="0">
                <anchor moveWithCells="1">
                  <from>
                    <xdr:col>7</xdr:col>
                    <xdr:colOff>22860</xdr:colOff>
                    <xdr:row>28</xdr:row>
                    <xdr:rowOff>22860</xdr:rowOff>
                  </from>
                  <to>
                    <xdr:col>9</xdr:col>
                    <xdr:colOff>0</xdr:colOff>
                    <xdr:row>36</xdr:row>
                    <xdr:rowOff>0</xdr:rowOff>
                  </to>
                </anchor>
              </controlPr>
            </control>
          </mc:Choice>
        </mc:AlternateContent>
        <mc:AlternateContent xmlns:mc="http://schemas.openxmlformats.org/markup-compatibility/2006">
          <mc:Choice Requires="x14">
            <control shapeId="25615" r:id="rId18" name="jhsbox_04">
              <controlPr defaultSize="0" autoFill="0" autoLine="0" autoPict="0">
                <anchor moveWithCells="1">
                  <from>
                    <xdr:col>13</xdr:col>
                    <xdr:colOff>22860</xdr:colOff>
                    <xdr:row>26</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6" r:id="rId19" name="jhsbox_05">
              <controlPr defaultSize="0" autoFill="0" autoLine="0" autoPict="0">
                <anchor moveWithCells="1">
                  <from>
                    <xdr:col>13</xdr:col>
                    <xdr:colOff>22860</xdr:colOff>
                    <xdr:row>27</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7" r:id="rId20" name="jhsbox_06">
              <controlPr defaultSize="0" autoFill="0" autoLine="0" autoPict="0">
                <anchor moveWithCells="1">
                  <from>
                    <xdr:col>13</xdr:col>
                    <xdr:colOff>22860</xdr:colOff>
                    <xdr:row>28</xdr:row>
                    <xdr:rowOff>22860</xdr:rowOff>
                  </from>
                  <to>
                    <xdr:col>14</xdr:col>
                    <xdr:colOff>1097280</xdr:colOff>
                    <xdr:row>36</xdr:row>
                    <xdr:rowOff>0</xdr:rowOff>
                  </to>
                </anchor>
              </controlPr>
            </control>
          </mc:Choice>
        </mc:AlternateContent>
        <mc:AlternateContent xmlns:mc="http://schemas.openxmlformats.org/markup-compatibility/2006">
          <mc:Choice Requires="x14">
            <control shapeId="25618" r:id="rId21" name="shsbox_01">
              <controlPr defaultSize="0" autoFill="0" autoLine="0" autoPict="0">
                <anchor moveWithCells="1">
                  <from>
                    <xdr:col>7</xdr:col>
                    <xdr:colOff>22860</xdr:colOff>
                    <xdr:row>33</xdr:row>
                    <xdr:rowOff>15240</xdr:rowOff>
                  </from>
                  <to>
                    <xdr:col>9</xdr:col>
                    <xdr:colOff>0</xdr:colOff>
                    <xdr:row>36</xdr:row>
                    <xdr:rowOff>0</xdr:rowOff>
                  </to>
                </anchor>
              </controlPr>
            </control>
          </mc:Choice>
        </mc:AlternateContent>
        <mc:AlternateContent xmlns:mc="http://schemas.openxmlformats.org/markup-compatibility/2006">
          <mc:Choice Requires="x14">
            <control shapeId="25619" r:id="rId22" name="shsbox_02">
              <controlPr defaultSize="0" autoFill="0" autoLine="0" autoPict="0">
                <anchor moveWithCells="1">
                  <from>
                    <xdr:col>7</xdr:col>
                    <xdr:colOff>22860</xdr:colOff>
                    <xdr:row>34</xdr:row>
                    <xdr:rowOff>15240</xdr:rowOff>
                  </from>
                  <to>
                    <xdr:col>9</xdr:col>
                    <xdr:colOff>0</xdr:colOff>
                    <xdr:row>36</xdr:row>
                    <xdr:rowOff>0</xdr:rowOff>
                  </to>
                </anchor>
              </controlPr>
            </control>
          </mc:Choice>
        </mc:AlternateContent>
        <mc:AlternateContent xmlns:mc="http://schemas.openxmlformats.org/markup-compatibility/2006">
          <mc:Choice Requires="x14">
            <control shapeId="25620" r:id="rId23" name="shsbox_03">
              <controlPr defaultSize="0" autoFill="0" autoLine="0" autoPict="0">
                <anchor moveWithCells="1">
                  <from>
                    <xdr:col>13</xdr:col>
                    <xdr:colOff>22860</xdr:colOff>
                    <xdr:row>33</xdr:row>
                    <xdr:rowOff>15240</xdr:rowOff>
                  </from>
                  <to>
                    <xdr:col>14</xdr:col>
                    <xdr:colOff>1097280</xdr:colOff>
                    <xdr:row>36</xdr:row>
                    <xdr:rowOff>0</xdr:rowOff>
                  </to>
                </anchor>
              </controlPr>
            </control>
          </mc:Choice>
        </mc:AlternateContent>
        <mc:AlternateContent xmlns:mc="http://schemas.openxmlformats.org/markup-compatibility/2006">
          <mc:Choice Requires="x14">
            <control shapeId="25621" r:id="rId24" name="specialization_01">
              <controlPr defaultSize="0" autoFill="0" autoLine="0" autoPict="0">
                <anchor moveWithCells="1" sizeWithCells="1">
                  <from>
                    <xdr:col>7</xdr:col>
                    <xdr:colOff>22860</xdr:colOff>
                    <xdr:row>38</xdr:row>
                    <xdr:rowOff>15240</xdr:rowOff>
                  </from>
                  <to>
                    <xdr:col>9</xdr:col>
                    <xdr:colOff>0</xdr:colOff>
                    <xdr:row>38</xdr:row>
                    <xdr:rowOff>243840</xdr:rowOff>
                  </to>
                </anchor>
              </controlPr>
            </control>
          </mc:Choice>
        </mc:AlternateContent>
        <mc:AlternateContent xmlns:mc="http://schemas.openxmlformats.org/markup-compatibility/2006">
          <mc:Choice Requires="x14">
            <control shapeId="25622" r:id="rId25" name="specialization_02">
              <controlPr defaultSize="0" autoFill="0" autoLine="0" autoPict="0">
                <anchor moveWithCells="1" sizeWithCells="1">
                  <from>
                    <xdr:col>7</xdr:col>
                    <xdr:colOff>22860</xdr:colOff>
                    <xdr:row>39</xdr:row>
                    <xdr:rowOff>15240</xdr:rowOff>
                  </from>
                  <to>
                    <xdr:col>9</xdr:col>
                    <xdr:colOff>0</xdr:colOff>
                    <xdr:row>39</xdr:row>
                    <xdr:rowOff>243840</xdr:rowOff>
                  </to>
                </anchor>
              </controlPr>
            </control>
          </mc:Choice>
        </mc:AlternateContent>
        <mc:AlternateContent xmlns:mc="http://schemas.openxmlformats.org/markup-compatibility/2006">
          <mc:Choice Requires="x14">
            <control shapeId="25623" r:id="rId26" name="specialization_03">
              <controlPr defaultSize="0" autoFill="0" autoLine="0" autoPict="0">
                <anchor moveWithCells="1" sizeWithCells="1">
                  <from>
                    <xdr:col>7</xdr:col>
                    <xdr:colOff>22860</xdr:colOff>
                    <xdr:row>40</xdr:row>
                    <xdr:rowOff>15240</xdr:rowOff>
                  </from>
                  <to>
                    <xdr:col>9</xdr:col>
                    <xdr:colOff>0</xdr:colOff>
                    <xdr:row>40</xdr:row>
                    <xdr:rowOff>243840</xdr:rowOff>
                  </to>
                </anchor>
              </controlPr>
            </control>
          </mc:Choice>
        </mc:AlternateContent>
        <mc:AlternateContent xmlns:mc="http://schemas.openxmlformats.org/markup-compatibility/2006">
          <mc:Choice Requires="x14">
            <control shapeId="25624" r:id="rId27" name="specialization_04">
              <controlPr defaultSize="0" autoFill="0" autoLine="0" autoPict="0">
                <anchor moveWithCells="1" sizeWithCells="1">
                  <from>
                    <xdr:col>7</xdr:col>
                    <xdr:colOff>22860</xdr:colOff>
                    <xdr:row>41</xdr:row>
                    <xdr:rowOff>15240</xdr:rowOff>
                  </from>
                  <to>
                    <xdr:col>9</xdr:col>
                    <xdr:colOff>0</xdr:colOff>
                    <xdr:row>41</xdr:row>
                    <xdr:rowOff>243840</xdr:rowOff>
                  </to>
                </anchor>
              </controlPr>
            </control>
          </mc:Choice>
        </mc:AlternateContent>
        <mc:AlternateContent xmlns:mc="http://schemas.openxmlformats.org/markup-compatibility/2006">
          <mc:Choice Requires="x14">
            <control shapeId="25625" r:id="rId28" name="specialization_05">
              <controlPr defaultSize="0" autoFill="0" autoLine="0" autoPict="0">
                <anchor moveWithCells="1" sizeWithCells="1">
                  <from>
                    <xdr:col>7</xdr:col>
                    <xdr:colOff>22860</xdr:colOff>
                    <xdr:row>42</xdr:row>
                    <xdr:rowOff>15240</xdr:rowOff>
                  </from>
                  <to>
                    <xdr:col>9</xdr:col>
                    <xdr:colOff>0</xdr:colOff>
                    <xdr:row>42</xdr:row>
                    <xdr:rowOff>243840</xdr:rowOff>
                  </to>
                </anchor>
              </controlPr>
            </control>
          </mc:Choice>
        </mc:AlternateContent>
        <mc:AlternateContent xmlns:mc="http://schemas.openxmlformats.org/markup-compatibility/2006">
          <mc:Choice Requires="x14">
            <control shapeId="25626" r:id="rId29" name="specialization_06">
              <controlPr defaultSize="0" autoFill="0" autoLine="0" autoPict="0">
                <anchor moveWithCells="1" sizeWithCells="1">
                  <from>
                    <xdr:col>7</xdr:col>
                    <xdr:colOff>22860</xdr:colOff>
                    <xdr:row>43</xdr:row>
                    <xdr:rowOff>15240</xdr:rowOff>
                  </from>
                  <to>
                    <xdr:col>9</xdr:col>
                    <xdr:colOff>0</xdr:colOff>
                    <xdr:row>43</xdr:row>
                    <xdr:rowOff>243840</xdr:rowOff>
                  </to>
                </anchor>
              </controlPr>
            </control>
          </mc:Choice>
        </mc:AlternateContent>
        <mc:AlternateContent xmlns:mc="http://schemas.openxmlformats.org/markup-compatibility/2006">
          <mc:Choice Requires="x14">
            <control shapeId="25627" r:id="rId30" name="specialization_07">
              <controlPr defaultSize="0" autoFill="0" autoLine="0" autoPict="0">
                <anchor moveWithCells="1" sizeWithCells="1">
                  <from>
                    <xdr:col>7</xdr:col>
                    <xdr:colOff>22860</xdr:colOff>
                    <xdr:row>44</xdr:row>
                    <xdr:rowOff>15240</xdr:rowOff>
                  </from>
                  <to>
                    <xdr:col>9</xdr:col>
                    <xdr:colOff>0</xdr:colOff>
                    <xdr:row>44</xdr:row>
                    <xdr:rowOff>243840</xdr:rowOff>
                  </to>
                </anchor>
              </controlPr>
            </control>
          </mc:Choice>
        </mc:AlternateContent>
        <mc:AlternateContent xmlns:mc="http://schemas.openxmlformats.org/markup-compatibility/2006">
          <mc:Choice Requires="x14">
            <control shapeId="25628" r:id="rId31" name="specialization_08">
              <controlPr defaultSize="0" autoFill="0" autoLine="0" autoPict="0">
                <anchor moveWithCells="1" sizeWithCells="1">
                  <from>
                    <xdr:col>7</xdr:col>
                    <xdr:colOff>22860</xdr:colOff>
                    <xdr:row>45</xdr:row>
                    <xdr:rowOff>15240</xdr:rowOff>
                  </from>
                  <to>
                    <xdr:col>9</xdr:col>
                    <xdr:colOff>0</xdr:colOff>
                    <xdr:row>45</xdr:row>
                    <xdr:rowOff>243840</xdr:rowOff>
                  </to>
                </anchor>
              </controlPr>
            </control>
          </mc:Choice>
        </mc:AlternateContent>
        <mc:AlternateContent xmlns:mc="http://schemas.openxmlformats.org/markup-compatibility/2006">
          <mc:Choice Requires="x14">
            <control shapeId="25629" r:id="rId32" name="specialization_09">
              <controlPr defaultSize="0" autoFill="0" autoLine="0" autoPict="0">
                <anchor moveWithCells="1" sizeWithCells="1">
                  <from>
                    <xdr:col>7</xdr:col>
                    <xdr:colOff>22860</xdr:colOff>
                    <xdr:row>46</xdr:row>
                    <xdr:rowOff>15240</xdr:rowOff>
                  </from>
                  <to>
                    <xdr:col>9</xdr:col>
                    <xdr:colOff>0</xdr:colOff>
                    <xdr:row>46</xdr:row>
                    <xdr:rowOff>243840</xdr:rowOff>
                  </to>
                </anchor>
              </controlPr>
            </control>
          </mc:Choice>
        </mc:AlternateContent>
        <mc:AlternateContent xmlns:mc="http://schemas.openxmlformats.org/markup-compatibility/2006">
          <mc:Choice Requires="x14">
            <control shapeId="25630" r:id="rId33" name="specialization_10">
              <controlPr defaultSize="0" autoFill="0" autoLine="0" autoPict="0">
                <anchor moveWithCells="1" sizeWithCells="1">
                  <from>
                    <xdr:col>13</xdr:col>
                    <xdr:colOff>22860</xdr:colOff>
                    <xdr:row>38</xdr:row>
                    <xdr:rowOff>15240</xdr:rowOff>
                  </from>
                  <to>
                    <xdr:col>14</xdr:col>
                    <xdr:colOff>1089660</xdr:colOff>
                    <xdr:row>38</xdr:row>
                    <xdr:rowOff>243840</xdr:rowOff>
                  </to>
                </anchor>
              </controlPr>
            </control>
          </mc:Choice>
        </mc:AlternateContent>
        <mc:AlternateContent xmlns:mc="http://schemas.openxmlformats.org/markup-compatibility/2006">
          <mc:Choice Requires="x14">
            <control shapeId="25631" r:id="rId34" name="specialization_11">
              <controlPr defaultSize="0" autoFill="0" autoLine="0" autoPict="0">
                <anchor moveWithCells="1" sizeWithCells="1">
                  <from>
                    <xdr:col>13</xdr:col>
                    <xdr:colOff>22860</xdr:colOff>
                    <xdr:row>39</xdr:row>
                    <xdr:rowOff>15240</xdr:rowOff>
                  </from>
                  <to>
                    <xdr:col>14</xdr:col>
                    <xdr:colOff>1089660</xdr:colOff>
                    <xdr:row>39</xdr:row>
                    <xdr:rowOff>243840</xdr:rowOff>
                  </to>
                </anchor>
              </controlPr>
            </control>
          </mc:Choice>
        </mc:AlternateContent>
        <mc:AlternateContent xmlns:mc="http://schemas.openxmlformats.org/markup-compatibility/2006">
          <mc:Choice Requires="x14">
            <control shapeId="25632" r:id="rId35" name="specialization_12">
              <controlPr defaultSize="0" autoFill="0" autoLine="0" autoPict="0">
                <anchor moveWithCells="1" sizeWithCells="1">
                  <from>
                    <xdr:col>13</xdr:col>
                    <xdr:colOff>22860</xdr:colOff>
                    <xdr:row>40</xdr:row>
                    <xdr:rowOff>15240</xdr:rowOff>
                  </from>
                  <to>
                    <xdr:col>14</xdr:col>
                    <xdr:colOff>1089660</xdr:colOff>
                    <xdr:row>40</xdr:row>
                    <xdr:rowOff>243840</xdr:rowOff>
                  </to>
                </anchor>
              </controlPr>
            </control>
          </mc:Choice>
        </mc:AlternateContent>
        <mc:AlternateContent xmlns:mc="http://schemas.openxmlformats.org/markup-compatibility/2006">
          <mc:Choice Requires="x14">
            <control shapeId="25633" r:id="rId36" name="specialization_13">
              <controlPr defaultSize="0" autoFill="0" autoLine="0" autoPict="0">
                <anchor moveWithCells="1" sizeWithCells="1">
                  <from>
                    <xdr:col>13</xdr:col>
                    <xdr:colOff>22860</xdr:colOff>
                    <xdr:row>41</xdr:row>
                    <xdr:rowOff>15240</xdr:rowOff>
                  </from>
                  <to>
                    <xdr:col>14</xdr:col>
                    <xdr:colOff>1089660</xdr:colOff>
                    <xdr:row>41</xdr:row>
                    <xdr:rowOff>243840</xdr:rowOff>
                  </to>
                </anchor>
              </controlPr>
            </control>
          </mc:Choice>
        </mc:AlternateContent>
        <mc:AlternateContent xmlns:mc="http://schemas.openxmlformats.org/markup-compatibility/2006">
          <mc:Choice Requires="x14">
            <control shapeId="25634" r:id="rId37" name="specialization_14">
              <controlPr defaultSize="0" autoFill="0" autoLine="0" autoPict="0">
                <anchor moveWithCells="1" sizeWithCells="1">
                  <from>
                    <xdr:col>13</xdr:col>
                    <xdr:colOff>22860</xdr:colOff>
                    <xdr:row>42</xdr:row>
                    <xdr:rowOff>15240</xdr:rowOff>
                  </from>
                  <to>
                    <xdr:col>14</xdr:col>
                    <xdr:colOff>1089660</xdr:colOff>
                    <xdr:row>42</xdr:row>
                    <xdr:rowOff>243840</xdr:rowOff>
                  </to>
                </anchor>
              </controlPr>
            </control>
          </mc:Choice>
        </mc:AlternateContent>
        <mc:AlternateContent xmlns:mc="http://schemas.openxmlformats.org/markup-compatibility/2006">
          <mc:Choice Requires="x14">
            <control shapeId="25635" r:id="rId38" name="specialization_15">
              <controlPr defaultSize="0" autoFill="0" autoLine="0" autoPict="0">
                <anchor moveWithCells="1" sizeWithCells="1">
                  <from>
                    <xdr:col>13</xdr:col>
                    <xdr:colOff>22860</xdr:colOff>
                    <xdr:row>43</xdr:row>
                    <xdr:rowOff>15240</xdr:rowOff>
                  </from>
                  <to>
                    <xdr:col>14</xdr:col>
                    <xdr:colOff>1089660</xdr:colOff>
                    <xdr:row>43</xdr:row>
                    <xdr:rowOff>243840</xdr:rowOff>
                  </to>
                </anchor>
              </controlPr>
            </control>
          </mc:Choice>
        </mc:AlternateContent>
        <mc:AlternateContent xmlns:mc="http://schemas.openxmlformats.org/markup-compatibility/2006">
          <mc:Choice Requires="x14">
            <control shapeId="25636" r:id="rId39" name="specialization_16">
              <controlPr defaultSize="0" autoFill="0" autoLine="0" autoPict="0">
                <anchor moveWithCells="1" sizeWithCells="1">
                  <from>
                    <xdr:col>13</xdr:col>
                    <xdr:colOff>22860</xdr:colOff>
                    <xdr:row>44</xdr:row>
                    <xdr:rowOff>15240</xdr:rowOff>
                  </from>
                  <to>
                    <xdr:col>14</xdr:col>
                    <xdr:colOff>1089660</xdr:colOff>
                    <xdr:row>44</xdr:row>
                    <xdr:rowOff>243840</xdr:rowOff>
                  </to>
                </anchor>
              </controlPr>
            </control>
          </mc:Choice>
        </mc:AlternateContent>
        <mc:AlternateContent xmlns:mc="http://schemas.openxmlformats.org/markup-compatibility/2006">
          <mc:Choice Requires="x14">
            <control shapeId="25637" r:id="rId40" name="specialization_17">
              <controlPr defaultSize="0" autoFill="0" autoLine="0" autoPict="0">
                <anchor moveWithCells="1" sizeWithCells="1">
                  <from>
                    <xdr:col>13</xdr:col>
                    <xdr:colOff>22860</xdr:colOff>
                    <xdr:row>45</xdr:row>
                    <xdr:rowOff>15240</xdr:rowOff>
                  </from>
                  <to>
                    <xdr:col>14</xdr:col>
                    <xdr:colOff>1089660</xdr:colOff>
                    <xdr:row>45</xdr:row>
                    <xdr:rowOff>243840</xdr:rowOff>
                  </to>
                </anchor>
              </controlPr>
            </control>
          </mc:Choice>
        </mc:AlternateContent>
        <mc:AlternateContent xmlns:mc="http://schemas.openxmlformats.org/markup-compatibility/2006">
          <mc:Choice Requires="x14">
            <control shapeId="25638" r:id="rId41" name="subjectsbox_01">
              <controlPr defaultSize="0" autoFill="0" autoLine="0" autoPict="0">
                <anchor moveWithCells="1">
                  <from>
                    <xdr:col>7</xdr:col>
                    <xdr:colOff>22860</xdr:colOff>
                    <xdr:row>50</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39" r:id="rId42" name="subjectsbox_02">
              <controlPr defaultSize="0" autoFill="0" autoLine="0" autoPict="0">
                <anchor moveWithCells="1">
                  <from>
                    <xdr:col>7</xdr:col>
                    <xdr:colOff>22860</xdr:colOff>
                    <xdr:row>51</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0" r:id="rId43" name="subjectsbox_03">
              <controlPr defaultSize="0" autoFill="0" autoLine="0" autoPict="0">
                <anchor moveWithCells="1">
                  <from>
                    <xdr:col>7</xdr:col>
                    <xdr:colOff>22860</xdr:colOff>
                    <xdr:row>52</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1" r:id="rId44" name="subjectsbox_04">
              <controlPr defaultSize="0" autoFill="0" autoLine="0" autoPict="0">
                <anchor moveWithCells="1">
                  <from>
                    <xdr:col>7</xdr:col>
                    <xdr:colOff>22860</xdr:colOff>
                    <xdr:row>53</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2" r:id="rId45" name="subjectsbox_05">
              <controlPr defaultSize="0" autoFill="0" autoLine="0" autoPict="0">
                <anchor moveWithCells="1">
                  <from>
                    <xdr:col>7</xdr:col>
                    <xdr:colOff>22860</xdr:colOff>
                    <xdr:row>54</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3" r:id="rId46" name="subjectsbox_06">
              <controlPr defaultSize="0" autoFill="0" autoLine="0" autoPict="0">
                <anchor moveWithCells="1">
                  <from>
                    <xdr:col>7</xdr:col>
                    <xdr:colOff>22860</xdr:colOff>
                    <xdr:row>55</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4" r:id="rId47" name="subjectsbox_07">
              <controlPr defaultSize="0" autoFill="0" autoLine="0" autoPict="0">
                <anchor moveWithCells="1">
                  <from>
                    <xdr:col>7</xdr:col>
                    <xdr:colOff>22860</xdr:colOff>
                    <xdr:row>56</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5" r:id="rId48" name="subjectsbox_08">
              <controlPr defaultSize="0" autoFill="0" autoLine="0" autoPict="0">
                <anchor moveWithCells="1">
                  <from>
                    <xdr:col>7</xdr:col>
                    <xdr:colOff>22860</xdr:colOff>
                    <xdr:row>57</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6" r:id="rId49" name="subjectsbox_09">
              <controlPr defaultSize="0" autoFill="0" autoLine="0" autoPict="0">
                <anchor moveWithCells="1">
                  <from>
                    <xdr:col>7</xdr:col>
                    <xdr:colOff>22860</xdr:colOff>
                    <xdr:row>58</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7" r:id="rId50" name="subjectsbox_10">
              <controlPr defaultSize="0" autoFill="0" autoLine="0" autoPict="0">
                <anchor moveWithCells="1">
                  <from>
                    <xdr:col>7</xdr:col>
                    <xdr:colOff>22860</xdr:colOff>
                    <xdr:row>59</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8" r:id="rId51" name="subjectsbox_11">
              <controlPr defaultSize="0" autoFill="0" autoLine="0" autoPict="0">
                <anchor moveWithCells="1">
                  <from>
                    <xdr:col>7</xdr:col>
                    <xdr:colOff>22860</xdr:colOff>
                    <xdr:row>60</xdr:row>
                    <xdr:rowOff>15240</xdr:rowOff>
                  </from>
                  <to>
                    <xdr:col>9</xdr:col>
                    <xdr:colOff>0</xdr:colOff>
                    <xdr:row>62</xdr:row>
                    <xdr:rowOff>0</xdr:rowOff>
                  </to>
                </anchor>
              </controlPr>
            </control>
          </mc:Choice>
        </mc:AlternateContent>
        <mc:AlternateContent xmlns:mc="http://schemas.openxmlformats.org/markup-compatibility/2006">
          <mc:Choice Requires="x14">
            <control shapeId="25649" r:id="rId52" name="subjectsbox_12">
              <controlPr defaultSize="0" autoFill="0" autoLine="0" autoPict="0">
                <anchor moveWithCells="1">
                  <from>
                    <xdr:col>13</xdr:col>
                    <xdr:colOff>22860</xdr:colOff>
                    <xdr:row>50</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0" r:id="rId53" name="subjectsbox_13">
              <controlPr defaultSize="0" autoFill="0" autoLine="0" autoPict="0">
                <anchor moveWithCells="1">
                  <from>
                    <xdr:col>13</xdr:col>
                    <xdr:colOff>22860</xdr:colOff>
                    <xdr:row>51</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1" r:id="rId54" name="subjectsbox_14">
              <controlPr defaultSize="0" autoFill="0" autoLine="0" autoPict="0">
                <anchor moveWithCells="1">
                  <from>
                    <xdr:col>13</xdr:col>
                    <xdr:colOff>22860</xdr:colOff>
                    <xdr:row>52</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2" r:id="rId55" name="subjectsbox_15">
              <controlPr defaultSize="0" autoFill="0" autoLine="0" autoPict="0">
                <anchor moveWithCells="1">
                  <from>
                    <xdr:col>13</xdr:col>
                    <xdr:colOff>22860</xdr:colOff>
                    <xdr:row>53</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3" r:id="rId56" name="subjectsbox_16">
              <controlPr defaultSize="0" autoFill="0" autoLine="0" autoPict="0">
                <anchor moveWithCells="1">
                  <from>
                    <xdr:col>13</xdr:col>
                    <xdr:colOff>22860</xdr:colOff>
                    <xdr:row>54</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4" r:id="rId57" name="subjectsbox_17">
              <controlPr defaultSize="0" autoFill="0" autoLine="0" autoPict="0">
                <anchor moveWithCells="1">
                  <from>
                    <xdr:col>13</xdr:col>
                    <xdr:colOff>22860</xdr:colOff>
                    <xdr:row>55</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5" r:id="rId58" name="subjectsbox_18">
              <controlPr defaultSize="0" autoFill="0" autoLine="0" autoPict="0">
                <anchor moveWithCells="1">
                  <from>
                    <xdr:col>13</xdr:col>
                    <xdr:colOff>22860</xdr:colOff>
                    <xdr:row>56</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6" r:id="rId59" name="subjectsbox_19">
              <controlPr defaultSize="0" autoFill="0" autoLine="0" autoPict="0">
                <anchor moveWithCells="1">
                  <from>
                    <xdr:col>13</xdr:col>
                    <xdr:colOff>22860</xdr:colOff>
                    <xdr:row>57</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7" r:id="rId60" name="subjectsbox_20">
              <controlPr defaultSize="0" autoFill="0" autoLine="0" autoPict="0">
                <anchor moveWithCells="1">
                  <from>
                    <xdr:col>13</xdr:col>
                    <xdr:colOff>22860</xdr:colOff>
                    <xdr:row>59</xdr:row>
                    <xdr:rowOff>15240</xdr:rowOff>
                  </from>
                  <to>
                    <xdr:col>14</xdr:col>
                    <xdr:colOff>1097280</xdr:colOff>
                    <xdr:row>62</xdr:row>
                    <xdr:rowOff>0</xdr:rowOff>
                  </to>
                </anchor>
              </controlPr>
            </control>
          </mc:Choice>
        </mc:AlternateContent>
        <mc:AlternateContent xmlns:mc="http://schemas.openxmlformats.org/markup-compatibility/2006">
          <mc:Choice Requires="x14">
            <control shapeId="25658" r:id="rId61" name="strandsbox_01">
              <controlPr defaultSize="0" autoFill="0" autoLine="0" autoPict="0">
                <anchor moveWithCells="1">
                  <from>
                    <xdr:col>7</xdr:col>
                    <xdr:colOff>22860</xdr:colOff>
                    <xdr:row>64</xdr:row>
                    <xdr:rowOff>15240</xdr:rowOff>
                  </from>
                  <to>
                    <xdr:col>9</xdr:col>
                    <xdr:colOff>0</xdr:colOff>
                    <xdr:row>64</xdr:row>
                    <xdr:rowOff>15240</xdr:rowOff>
                  </to>
                </anchor>
              </controlPr>
            </control>
          </mc:Choice>
        </mc:AlternateContent>
        <mc:AlternateContent xmlns:mc="http://schemas.openxmlformats.org/markup-compatibility/2006">
          <mc:Choice Requires="x14">
            <control shapeId="25659" r:id="rId62" name="strandsbox_02">
              <controlPr defaultSize="0" autoFill="0" autoLine="0" autoPict="0">
                <anchor moveWithCells="1">
                  <from>
                    <xdr:col>7</xdr:col>
                    <xdr:colOff>22860</xdr:colOff>
                    <xdr:row>65</xdr:row>
                    <xdr:rowOff>15240</xdr:rowOff>
                  </from>
                  <to>
                    <xdr:col>9</xdr:col>
                    <xdr:colOff>0</xdr:colOff>
                    <xdr:row>65</xdr:row>
                    <xdr:rowOff>15240</xdr:rowOff>
                  </to>
                </anchor>
              </controlPr>
            </control>
          </mc:Choice>
        </mc:AlternateContent>
        <mc:AlternateContent xmlns:mc="http://schemas.openxmlformats.org/markup-compatibility/2006">
          <mc:Choice Requires="x14">
            <control shapeId="25660" r:id="rId63" name="strandsbox_03">
              <controlPr defaultSize="0" autoFill="0" autoLine="0" autoPict="0">
                <anchor moveWithCells="1">
                  <from>
                    <xdr:col>7</xdr:col>
                    <xdr:colOff>22860</xdr:colOff>
                    <xdr:row>66</xdr:row>
                    <xdr:rowOff>15240</xdr:rowOff>
                  </from>
                  <to>
                    <xdr:col>9</xdr:col>
                    <xdr:colOff>0</xdr:colOff>
                    <xdr:row>66</xdr:row>
                    <xdr:rowOff>15240</xdr:rowOff>
                  </to>
                </anchor>
              </controlPr>
            </control>
          </mc:Choice>
        </mc:AlternateContent>
        <mc:AlternateContent xmlns:mc="http://schemas.openxmlformats.org/markup-compatibility/2006">
          <mc:Choice Requires="x14">
            <control shapeId="25661" r:id="rId64" name="strandsbox_04">
              <controlPr defaultSize="0" autoFill="0" autoLine="0" autoPict="0">
                <anchor moveWithCells="1">
                  <from>
                    <xdr:col>7</xdr:col>
                    <xdr:colOff>22860</xdr:colOff>
                    <xdr:row>67</xdr:row>
                    <xdr:rowOff>15240</xdr:rowOff>
                  </from>
                  <to>
                    <xdr:col>9</xdr:col>
                    <xdr:colOff>0</xdr:colOff>
                    <xdr:row>67</xdr:row>
                    <xdr:rowOff>15240</xdr:rowOff>
                  </to>
                </anchor>
              </controlPr>
            </control>
          </mc:Choice>
        </mc:AlternateContent>
        <mc:AlternateContent xmlns:mc="http://schemas.openxmlformats.org/markup-compatibility/2006">
          <mc:Choice Requires="x14">
            <control shapeId="25662" r:id="rId65" name="strandsbox_05">
              <controlPr defaultSize="0" autoFill="0" autoLine="0" autoPict="0">
                <anchor moveWithCells="1">
                  <from>
                    <xdr:col>7</xdr:col>
                    <xdr:colOff>22860</xdr:colOff>
                    <xdr:row>68</xdr:row>
                    <xdr:rowOff>15240</xdr:rowOff>
                  </from>
                  <to>
                    <xdr:col>9</xdr:col>
                    <xdr:colOff>0</xdr:colOff>
                    <xdr:row>68</xdr:row>
                    <xdr:rowOff>15240</xdr:rowOff>
                  </to>
                </anchor>
              </controlPr>
            </control>
          </mc:Choice>
        </mc:AlternateContent>
        <mc:AlternateContent xmlns:mc="http://schemas.openxmlformats.org/markup-compatibility/2006">
          <mc:Choice Requires="x14">
            <control shapeId="25663" r:id="rId66" name="strandsbox_06">
              <controlPr defaultSize="0" autoFill="0" autoLine="0" autoPict="0">
                <anchor moveWithCells="1">
                  <from>
                    <xdr:col>7</xdr:col>
                    <xdr:colOff>22860</xdr:colOff>
                    <xdr:row>69</xdr:row>
                    <xdr:rowOff>15240</xdr:rowOff>
                  </from>
                  <to>
                    <xdr:col>9</xdr:col>
                    <xdr:colOff>0</xdr:colOff>
                    <xdr:row>69</xdr:row>
                    <xdr:rowOff>15240</xdr:rowOff>
                  </to>
                </anchor>
              </controlPr>
            </control>
          </mc:Choice>
        </mc:AlternateContent>
        <mc:AlternateContent xmlns:mc="http://schemas.openxmlformats.org/markup-compatibility/2006">
          <mc:Choice Requires="x14">
            <control shapeId="25664" r:id="rId67" name="strandsbox_07">
              <controlPr defaultSize="0" autoFill="0" autoLine="0" autoPict="0">
                <anchor moveWithCells="1">
                  <from>
                    <xdr:col>13</xdr:col>
                    <xdr:colOff>22860</xdr:colOff>
                    <xdr:row>64</xdr:row>
                    <xdr:rowOff>15240</xdr:rowOff>
                  </from>
                  <to>
                    <xdr:col>14</xdr:col>
                    <xdr:colOff>1097280</xdr:colOff>
                    <xdr:row>64</xdr:row>
                    <xdr:rowOff>15240</xdr:rowOff>
                  </to>
                </anchor>
              </controlPr>
            </control>
          </mc:Choice>
        </mc:AlternateContent>
        <mc:AlternateContent xmlns:mc="http://schemas.openxmlformats.org/markup-compatibility/2006">
          <mc:Choice Requires="x14">
            <control shapeId="25665" r:id="rId68" name="strandsbox_08">
              <controlPr defaultSize="0" autoFill="0" autoLine="0" autoPict="0">
                <anchor moveWithCells="1">
                  <from>
                    <xdr:col>13</xdr:col>
                    <xdr:colOff>22860</xdr:colOff>
                    <xdr:row>65</xdr:row>
                    <xdr:rowOff>15240</xdr:rowOff>
                  </from>
                  <to>
                    <xdr:col>14</xdr:col>
                    <xdr:colOff>1097280</xdr:colOff>
                    <xdr:row>65</xdr:row>
                    <xdr:rowOff>15240</xdr:rowOff>
                  </to>
                </anchor>
              </controlPr>
            </control>
          </mc:Choice>
        </mc:AlternateContent>
        <mc:AlternateContent xmlns:mc="http://schemas.openxmlformats.org/markup-compatibility/2006">
          <mc:Choice Requires="x14">
            <control shapeId="25666" r:id="rId69" name="strandsbox_09">
              <controlPr defaultSize="0" autoFill="0" autoLine="0" autoPict="0">
                <anchor moveWithCells="1">
                  <from>
                    <xdr:col>13</xdr:col>
                    <xdr:colOff>22860</xdr:colOff>
                    <xdr:row>66</xdr:row>
                    <xdr:rowOff>15240</xdr:rowOff>
                  </from>
                  <to>
                    <xdr:col>14</xdr:col>
                    <xdr:colOff>1097280</xdr:colOff>
                    <xdr:row>66</xdr:row>
                    <xdr:rowOff>15240</xdr:rowOff>
                  </to>
                </anchor>
              </controlPr>
            </control>
          </mc:Choice>
        </mc:AlternateContent>
        <mc:AlternateContent xmlns:mc="http://schemas.openxmlformats.org/markup-compatibility/2006">
          <mc:Choice Requires="x14">
            <control shapeId="25667" r:id="rId70" name="strandsbox_10">
              <controlPr defaultSize="0" autoFill="0" autoLine="0" autoPict="0">
                <anchor moveWithCells="1">
                  <from>
                    <xdr:col>13</xdr:col>
                    <xdr:colOff>22860</xdr:colOff>
                    <xdr:row>67</xdr:row>
                    <xdr:rowOff>15240</xdr:rowOff>
                  </from>
                  <to>
                    <xdr:col>14</xdr:col>
                    <xdr:colOff>1097280</xdr:colOff>
                    <xdr:row>67</xdr:row>
                    <xdr:rowOff>15240</xdr:rowOff>
                  </to>
                </anchor>
              </controlPr>
            </control>
          </mc:Choice>
        </mc:AlternateContent>
        <mc:AlternateContent xmlns:mc="http://schemas.openxmlformats.org/markup-compatibility/2006">
          <mc:Choice Requires="x14">
            <control shapeId="25668" r:id="rId71" name="strandsbox_11">
              <controlPr defaultSize="0" autoFill="0" autoLine="0" autoPict="0">
                <anchor moveWithCells="1">
                  <from>
                    <xdr:col>13</xdr:col>
                    <xdr:colOff>22860</xdr:colOff>
                    <xdr:row>68</xdr:row>
                    <xdr:rowOff>15240</xdr:rowOff>
                  </from>
                  <to>
                    <xdr:col>14</xdr:col>
                    <xdr:colOff>1097280</xdr:colOff>
                    <xdr:row>68</xdr:row>
                    <xdr:rowOff>15240</xdr:rowOff>
                  </to>
                </anchor>
              </controlPr>
            </control>
          </mc:Choice>
        </mc:AlternateContent>
        <mc:AlternateContent xmlns:mc="http://schemas.openxmlformats.org/markup-compatibility/2006">
          <mc:Choice Requires="x14">
            <control shapeId="25669" r:id="rId72" name="strandsbox_12">
              <controlPr defaultSize="0" autoFill="0" autoLine="0" autoPict="0">
                <anchor moveWithCells="1">
                  <from>
                    <xdr:col>13</xdr:col>
                    <xdr:colOff>22860</xdr:colOff>
                    <xdr:row>69</xdr:row>
                    <xdr:rowOff>15240</xdr:rowOff>
                  </from>
                  <to>
                    <xdr:col>14</xdr:col>
                    <xdr:colOff>1097280</xdr:colOff>
                    <xdr:row>69</xdr:row>
                    <xdr:rowOff>15240</xdr:rowOff>
                  </to>
                </anchor>
              </controlPr>
            </control>
          </mc:Choice>
        </mc:AlternateContent>
        <mc:AlternateContent xmlns:mc="http://schemas.openxmlformats.org/markup-compatibility/2006">
          <mc:Choice Requires="x14">
            <control shapeId="25670" r:id="rId73" name="Check Box 70">
              <controlPr defaultSize="0" autoFill="0" autoLine="0" autoPict="0">
                <anchor moveWithCells="1" sizeWithCells="1">
                  <from>
                    <xdr:col>7</xdr:col>
                    <xdr:colOff>22860</xdr:colOff>
                    <xdr:row>50</xdr:row>
                    <xdr:rowOff>7620</xdr:rowOff>
                  </from>
                  <to>
                    <xdr:col>9</xdr:col>
                    <xdr:colOff>0</xdr:colOff>
                    <xdr:row>50</xdr:row>
                    <xdr:rowOff>236220</xdr:rowOff>
                  </to>
                </anchor>
              </controlPr>
            </control>
          </mc:Choice>
        </mc:AlternateContent>
        <mc:AlternateContent xmlns:mc="http://schemas.openxmlformats.org/markup-compatibility/2006">
          <mc:Choice Requires="x14">
            <control shapeId="25671" r:id="rId74" name="Check Box 71">
              <controlPr defaultSize="0" autoFill="0" autoLine="0" autoPict="0">
                <anchor moveWithCells="1" sizeWithCells="1">
                  <from>
                    <xdr:col>7</xdr:col>
                    <xdr:colOff>22860</xdr:colOff>
                    <xdr:row>51</xdr:row>
                    <xdr:rowOff>7620</xdr:rowOff>
                  </from>
                  <to>
                    <xdr:col>9</xdr:col>
                    <xdr:colOff>0</xdr:colOff>
                    <xdr:row>51</xdr:row>
                    <xdr:rowOff>236220</xdr:rowOff>
                  </to>
                </anchor>
              </controlPr>
            </control>
          </mc:Choice>
        </mc:AlternateContent>
        <mc:AlternateContent xmlns:mc="http://schemas.openxmlformats.org/markup-compatibility/2006">
          <mc:Choice Requires="x14">
            <control shapeId="25672" r:id="rId75" name="Check Box 72">
              <controlPr defaultSize="0" autoFill="0" autoLine="0" autoPict="0">
                <anchor moveWithCells="1" sizeWithCells="1">
                  <from>
                    <xdr:col>7</xdr:col>
                    <xdr:colOff>22860</xdr:colOff>
                    <xdr:row>52</xdr:row>
                    <xdr:rowOff>7620</xdr:rowOff>
                  </from>
                  <to>
                    <xdr:col>9</xdr:col>
                    <xdr:colOff>0</xdr:colOff>
                    <xdr:row>52</xdr:row>
                    <xdr:rowOff>236220</xdr:rowOff>
                  </to>
                </anchor>
              </controlPr>
            </control>
          </mc:Choice>
        </mc:AlternateContent>
        <mc:AlternateContent xmlns:mc="http://schemas.openxmlformats.org/markup-compatibility/2006">
          <mc:Choice Requires="x14">
            <control shapeId="25673" r:id="rId76" name="Check Box 73">
              <controlPr defaultSize="0" autoFill="0" autoLine="0" autoPict="0">
                <anchor moveWithCells="1" sizeWithCells="1">
                  <from>
                    <xdr:col>7</xdr:col>
                    <xdr:colOff>22860</xdr:colOff>
                    <xdr:row>53</xdr:row>
                    <xdr:rowOff>7620</xdr:rowOff>
                  </from>
                  <to>
                    <xdr:col>9</xdr:col>
                    <xdr:colOff>0</xdr:colOff>
                    <xdr:row>53</xdr:row>
                    <xdr:rowOff>236220</xdr:rowOff>
                  </to>
                </anchor>
              </controlPr>
            </control>
          </mc:Choice>
        </mc:AlternateContent>
        <mc:AlternateContent xmlns:mc="http://schemas.openxmlformats.org/markup-compatibility/2006">
          <mc:Choice Requires="x14">
            <control shapeId="25674" r:id="rId77" name="Check Box 74">
              <controlPr defaultSize="0" autoFill="0" autoLine="0" autoPict="0">
                <anchor moveWithCells="1" sizeWithCells="1">
                  <from>
                    <xdr:col>7</xdr:col>
                    <xdr:colOff>22860</xdr:colOff>
                    <xdr:row>54</xdr:row>
                    <xdr:rowOff>7620</xdr:rowOff>
                  </from>
                  <to>
                    <xdr:col>9</xdr:col>
                    <xdr:colOff>0</xdr:colOff>
                    <xdr:row>54</xdr:row>
                    <xdr:rowOff>236220</xdr:rowOff>
                  </to>
                </anchor>
              </controlPr>
            </control>
          </mc:Choice>
        </mc:AlternateContent>
        <mc:AlternateContent xmlns:mc="http://schemas.openxmlformats.org/markup-compatibility/2006">
          <mc:Choice Requires="x14">
            <control shapeId="25675" r:id="rId78" name="Check Box 75">
              <controlPr defaultSize="0" autoFill="0" autoLine="0" autoPict="0">
                <anchor moveWithCells="1" sizeWithCells="1">
                  <from>
                    <xdr:col>7</xdr:col>
                    <xdr:colOff>22860</xdr:colOff>
                    <xdr:row>55</xdr:row>
                    <xdr:rowOff>7620</xdr:rowOff>
                  </from>
                  <to>
                    <xdr:col>9</xdr:col>
                    <xdr:colOff>0</xdr:colOff>
                    <xdr:row>55</xdr:row>
                    <xdr:rowOff>236220</xdr:rowOff>
                  </to>
                </anchor>
              </controlPr>
            </control>
          </mc:Choice>
        </mc:AlternateContent>
        <mc:AlternateContent xmlns:mc="http://schemas.openxmlformats.org/markup-compatibility/2006">
          <mc:Choice Requires="x14">
            <control shapeId="25676" r:id="rId79" name="Check Box 76">
              <controlPr defaultSize="0" autoFill="0" autoLine="0" autoPict="0">
                <anchor moveWithCells="1" sizeWithCells="1">
                  <from>
                    <xdr:col>7</xdr:col>
                    <xdr:colOff>22860</xdr:colOff>
                    <xdr:row>56</xdr:row>
                    <xdr:rowOff>7620</xdr:rowOff>
                  </from>
                  <to>
                    <xdr:col>9</xdr:col>
                    <xdr:colOff>0</xdr:colOff>
                    <xdr:row>56</xdr:row>
                    <xdr:rowOff>236220</xdr:rowOff>
                  </to>
                </anchor>
              </controlPr>
            </control>
          </mc:Choice>
        </mc:AlternateContent>
        <mc:AlternateContent xmlns:mc="http://schemas.openxmlformats.org/markup-compatibility/2006">
          <mc:Choice Requires="x14">
            <control shapeId="25677" r:id="rId80" name="Check Box 77">
              <controlPr defaultSize="0" autoFill="0" autoLine="0" autoPict="0">
                <anchor moveWithCells="1" sizeWithCells="1">
                  <from>
                    <xdr:col>7</xdr:col>
                    <xdr:colOff>22860</xdr:colOff>
                    <xdr:row>57</xdr:row>
                    <xdr:rowOff>7620</xdr:rowOff>
                  </from>
                  <to>
                    <xdr:col>9</xdr:col>
                    <xdr:colOff>0</xdr:colOff>
                    <xdr:row>57</xdr:row>
                    <xdr:rowOff>236220</xdr:rowOff>
                  </to>
                </anchor>
              </controlPr>
            </control>
          </mc:Choice>
        </mc:AlternateContent>
        <mc:AlternateContent xmlns:mc="http://schemas.openxmlformats.org/markup-compatibility/2006">
          <mc:Choice Requires="x14">
            <control shapeId="25678" r:id="rId81" name="Check Box 78">
              <controlPr defaultSize="0" autoFill="0" autoLine="0" autoPict="0">
                <anchor moveWithCells="1" sizeWithCells="1">
                  <from>
                    <xdr:col>7</xdr:col>
                    <xdr:colOff>22860</xdr:colOff>
                    <xdr:row>58</xdr:row>
                    <xdr:rowOff>7620</xdr:rowOff>
                  </from>
                  <to>
                    <xdr:col>9</xdr:col>
                    <xdr:colOff>0</xdr:colOff>
                    <xdr:row>58</xdr:row>
                    <xdr:rowOff>236220</xdr:rowOff>
                  </to>
                </anchor>
              </controlPr>
            </control>
          </mc:Choice>
        </mc:AlternateContent>
        <mc:AlternateContent xmlns:mc="http://schemas.openxmlformats.org/markup-compatibility/2006">
          <mc:Choice Requires="x14">
            <control shapeId="25679" r:id="rId82" name="Check Box 79">
              <controlPr defaultSize="0" autoFill="0" autoLine="0" autoPict="0">
                <anchor moveWithCells="1" sizeWithCells="1">
                  <from>
                    <xdr:col>13</xdr:col>
                    <xdr:colOff>22860</xdr:colOff>
                    <xdr:row>50</xdr:row>
                    <xdr:rowOff>7620</xdr:rowOff>
                  </from>
                  <to>
                    <xdr:col>14</xdr:col>
                    <xdr:colOff>1089660</xdr:colOff>
                    <xdr:row>50</xdr:row>
                    <xdr:rowOff>236220</xdr:rowOff>
                  </to>
                </anchor>
              </controlPr>
            </control>
          </mc:Choice>
        </mc:AlternateContent>
        <mc:AlternateContent xmlns:mc="http://schemas.openxmlformats.org/markup-compatibility/2006">
          <mc:Choice Requires="x14">
            <control shapeId="25680" r:id="rId83" name="Check Box 80">
              <controlPr defaultSize="0" autoFill="0" autoLine="0" autoPict="0">
                <anchor moveWithCells="1" sizeWithCells="1">
                  <from>
                    <xdr:col>13</xdr:col>
                    <xdr:colOff>22860</xdr:colOff>
                    <xdr:row>51</xdr:row>
                    <xdr:rowOff>7620</xdr:rowOff>
                  </from>
                  <to>
                    <xdr:col>14</xdr:col>
                    <xdr:colOff>1089660</xdr:colOff>
                    <xdr:row>51</xdr:row>
                    <xdr:rowOff>236220</xdr:rowOff>
                  </to>
                </anchor>
              </controlPr>
            </control>
          </mc:Choice>
        </mc:AlternateContent>
        <mc:AlternateContent xmlns:mc="http://schemas.openxmlformats.org/markup-compatibility/2006">
          <mc:Choice Requires="x14">
            <control shapeId="25681" r:id="rId84" name="Check Box 81">
              <controlPr defaultSize="0" autoFill="0" autoLine="0" autoPict="0">
                <anchor moveWithCells="1" sizeWithCells="1">
                  <from>
                    <xdr:col>13</xdr:col>
                    <xdr:colOff>22860</xdr:colOff>
                    <xdr:row>52</xdr:row>
                    <xdr:rowOff>7620</xdr:rowOff>
                  </from>
                  <to>
                    <xdr:col>14</xdr:col>
                    <xdr:colOff>1089660</xdr:colOff>
                    <xdr:row>52</xdr:row>
                    <xdr:rowOff>236220</xdr:rowOff>
                  </to>
                </anchor>
              </controlPr>
            </control>
          </mc:Choice>
        </mc:AlternateContent>
        <mc:AlternateContent xmlns:mc="http://schemas.openxmlformats.org/markup-compatibility/2006">
          <mc:Choice Requires="x14">
            <control shapeId="25682" r:id="rId85" name="Check Box 82">
              <controlPr defaultSize="0" autoFill="0" autoLine="0" autoPict="0">
                <anchor moveWithCells="1" sizeWithCells="1">
                  <from>
                    <xdr:col>13</xdr:col>
                    <xdr:colOff>22860</xdr:colOff>
                    <xdr:row>53</xdr:row>
                    <xdr:rowOff>7620</xdr:rowOff>
                  </from>
                  <to>
                    <xdr:col>14</xdr:col>
                    <xdr:colOff>1089660</xdr:colOff>
                    <xdr:row>53</xdr:row>
                    <xdr:rowOff>236220</xdr:rowOff>
                  </to>
                </anchor>
              </controlPr>
            </control>
          </mc:Choice>
        </mc:AlternateContent>
        <mc:AlternateContent xmlns:mc="http://schemas.openxmlformats.org/markup-compatibility/2006">
          <mc:Choice Requires="x14">
            <control shapeId="25683" r:id="rId86" name="Check Box 83">
              <controlPr defaultSize="0" autoFill="0" autoLine="0" autoPict="0">
                <anchor moveWithCells="1" sizeWithCells="1">
                  <from>
                    <xdr:col>13</xdr:col>
                    <xdr:colOff>22860</xdr:colOff>
                    <xdr:row>54</xdr:row>
                    <xdr:rowOff>7620</xdr:rowOff>
                  </from>
                  <to>
                    <xdr:col>14</xdr:col>
                    <xdr:colOff>1089660</xdr:colOff>
                    <xdr:row>54</xdr:row>
                    <xdr:rowOff>236220</xdr:rowOff>
                  </to>
                </anchor>
              </controlPr>
            </control>
          </mc:Choice>
        </mc:AlternateContent>
        <mc:AlternateContent xmlns:mc="http://schemas.openxmlformats.org/markup-compatibility/2006">
          <mc:Choice Requires="x14">
            <control shapeId="25684" r:id="rId87" name="Check Box 84">
              <controlPr defaultSize="0" autoFill="0" autoLine="0" autoPict="0">
                <anchor moveWithCells="1" sizeWithCells="1">
                  <from>
                    <xdr:col>13</xdr:col>
                    <xdr:colOff>22860</xdr:colOff>
                    <xdr:row>55</xdr:row>
                    <xdr:rowOff>7620</xdr:rowOff>
                  </from>
                  <to>
                    <xdr:col>14</xdr:col>
                    <xdr:colOff>1089660</xdr:colOff>
                    <xdr:row>55</xdr:row>
                    <xdr:rowOff>236220</xdr:rowOff>
                  </to>
                </anchor>
              </controlPr>
            </control>
          </mc:Choice>
        </mc:AlternateContent>
        <mc:AlternateContent xmlns:mc="http://schemas.openxmlformats.org/markup-compatibility/2006">
          <mc:Choice Requires="x14">
            <control shapeId="25685" r:id="rId88" name="Check Box 85">
              <controlPr defaultSize="0" autoFill="0" autoLine="0" autoPict="0">
                <anchor moveWithCells="1" sizeWithCells="1">
                  <from>
                    <xdr:col>13</xdr:col>
                    <xdr:colOff>22860</xdr:colOff>
                    <xdr:row>56</xdr:row>
                    <xdr:rowOff>7620</xdr:rowOff>
                  </from>
                  <to>
                    <xdr:col>14</xdr:col>
                    <xdr:colOff>1089660</xdr:colOff>
                    <xdr:row>56</xdr:row>
                    <xdr:rowOff>236220</xdr:rowOff>
                  </to>
                </anchor>
              </controlPr>
            </control>
          </mc:Choice>
        </mc:AlternateContent>
        <mc:AlternateContent xmlns:mc="http://schemas.openxmlformats.org/markup-compatibility/2006">
          <mc:Choice Requires="x14">
            <control shapeId="25686" r:id="rId89" name="Check Box 86">
              <controlPr defaultSize="0" autoFill="0" autoLine="0" autoPict="0">
                <anchor moveWithCells="1" sizeWithCells="1">
                  <from>
                    <xdr:col>13</xdr:col>
                    <xdr:colOff>22860</xdr:colOff>
                    <xdr:row>57</xdr:row>
                    <xdr:rowOff>7620</xdr:rowOff>
                  </from>
                  <to>
                    <xdr:col>14</xdr:col>
                    <xdr:colOff>1089660</xdr:colOff>
                    <xdr:row>57</xdr:row>
                    <xdr:rowOff>236220</xdr:rowOff>
                  </to>
                </anchor>
              </controlPr>
            </control>
          </mc:Choice>
        </mc:AlternateContent>
        <mc:AlternateContent xmlns:mc="http://schemas.openxmlformats.org/markup-compatibility/2006">
          <mc:Choice Requires="x14">
            <control shapeId="25687" r:id="rId90" name="Check Box 87">
              <controlPr defaultSize="0" autoFill="0" autoLine="0" autoPict="0">
                <anchor moveWithCells="1" sizeWithCells="1">
                  <from>
                    <xdr:col>7</xdr:col>
                    <xdr:colOff>22860</xdr:colOff>
                    <xdr:row>64</xdr:row>
                    <xdr:rowOff>7620</xdr:rowOff>
                  </from>
                  <to>
                    <xdr:col>9</xdr:col>
                    <xdr:colOff>0</xdr:colOff>
                    <xdr:row>64</xdr:row>
                    <xdr:rowOff>236220</xdr:rowOff>
                  </to>
                </anchor>
              </controlPr>
            </control>
          </mc:Choice>
        </mc:AlternateContent>
        <mc:AlternateContent xmlns:mc="http://schemas.openxmlformats.org/markup-compatibility/2006">
          <mc:Choice Requires="x14">
            <control shapeId="25688" r:id="rId91" name="Check Box 88">
              <controlPr defaultSize="0" autoFill="0" autoLine="0" autoPict="0">
                <anchor moveWithCells="1" sizeWithCells="1">
                  <from>
                    <xdr:col>7</xdr:col>
                    <xdr:colOff>22860</xdr:colOff>
                    <xdr:row>65</xdr:row>
                    <xdr:rowOff>7620</xdr:rowOff>
                  </from>
                  <to>
                    <xdr:col>9</xdr:col>
                    <xdr:colOff>0</xdr:colOff>
                    <xdr:row>65</xdr:row>
                    <xdr:rowOff>236220</xdr:rowOff>
                  </to>
                </anchor>
              </controlPr>
            </control>
          </mc:Choice>
        </mc:AlternateContent>
        <mc:AlternateContent xmlns:mc="http://schemas.openxmlformats.org/markup-compatibility/2006">
          <mc:Choice Requires="x14">
            <control shapeId="25689" r:id="rId92" name="Check Box 89">
              <controlPr defaultSize="0" autoFill="0" autoLine="0" autoPict="0">
                <anchor moveWithCells="1" sizeWithCells="1">
                  <from>
                    <xdr:col>7</xdr:col>
                    <xdr:colOff>22860</xdr:colOff>
                    <xdr:row>66</xdr:row>
                    <xdr:rowOff>7620</xdr:rowOff>
                  </from>
                  <to>
                    <xdr:col>9</xdr:col>
                    <xdr:colOff>0</xdr:colOff>
                    <xdr:row>66</xdr:row>
                    <xdr:rowOff>236220</xdr:rowOff>
                  </to>
                </anchor>
              </controlPr>
            </control>
          </mc:Choice>
        </mc:AlternateContent>
        <mc:AlternateContent xmlns:mc="http://schemas.openxmlformats.org/markup-compatibility/2006">
          <mc:Choice Requires="x14">
            <control shapeId="25690" r:id="rId93" name="Check Box 90">
              <controlPr defaultSize="0" autoFill="0" autoLine="0" autoPict="0">
                <anchor moveWithCells="1" sizeWithCells="1">
                  <from>
                    <xdr:col>7</xdr:col>
                    <xdr:colOff>22860</xdr:colOff>
                    <xdr:row>67</xdr:row>
                    <xdr:rowOff>7620</xdr:rowOff>
                  </from>
                  <to>
                    <xdr:col>9</xdr:col>
                    <xdr:colOff>0</xdr:colOff>
                    <xdr:row>67</xdr:row>
                    <xdr:rowOff>236220</xdr:rowOff>
                  </to>
                </anchor>
              </controlPr>
            </control>
          </mc:Choice>
        </mc:AlternateContent>
        <mc:AlternateContent xmlns:mc="http://schemas.openxmlformats.org/markup-compatibility/2006">
          <mc:Choice Requires="x14">
            <control shapeId="25691" r:id="rId94" name="Check Box 91">
              <controlPr defaultSize="0" autoFill="0" autoLine="0" autoPict="0">
                <anchor moveWithCells="1" sizeWithCells="1">
                  <from>
                    <xdr:col>7</xdr:col>
                    <xdr:colOff>22860</xdr:colOff>
                    <xdr:row>68</xdr:row>
                    <xdr:rowOff>7620</xdr:rowOff>
                  </from>
                  <to>
                    <xdr:col>9</xdr:col>
                    <xdr:colOff>0</xdr:colOff>
                    <xdr:row>68</xdr:row>
                    <xdr:rowOff>236220</xdr:rowOff>
                  </to>
                </anchor>
              </controlPr>
            </control>
          </mc:Choice>
        </mc:AlternateContent>
        <mc:AlternateContent xmlns:mc="http://schemas.openxmlformats.org/markup-compatibility/2006">
          <mc:Choice Requires="x14">
            <control shapeId="25692" r:id="rId95" name="Check Box 92">
              <controlPr defaultSize="0" autoFill="0" autoLine="0" autoPict="0">
                <anchor moveWithCells="1" sizeWithCells="1">
                  <from>
                    <xdr:col>7</xdr:col>
                    <xdr:colOff>22860</xdr:colOff>
                    <xdr:row>69</xdr:row>
                    <xdr:rowOff>7620</xdr:rowOff>
                  </from>
                  <to>
                    <xdr:col>9</xdr:col>
                    <xdr:colOff>0</xdr:colOff>
                    <xdr:row>69</xdr:row>
                    <xdr:rowOff>236220</xdr:rowOff>
                  </to>
                </anchor>
              </controlPr>
            </control>
          </mc:Choice>
        </mc:AlternateContent>
        <mc:AlternateContent xmlns:mc="http://schemas.openxmlformats.org/markup-compatibility/2006">
          <mc:Choice Requires="x14">
            <control shapeId="25693" r:id="rId96" name="Check Box 93">
              <controlPr defaultSize="0" autoFill="0" autoLine="0" autoPict="0">
                <anchor moveWithCells="1" sizeWithCells="1">
                  <from>
                    <xdr:col>7</xdr:col>
                    <xdr:colOff>22860</xdr:colOff>
                    <xdr:row>59</xdr:row>
                    <xdr:rowOff>7620</xdr:rowOff>
                  </from>
                  <to>
                    <xdr:col>9</xdr:col>
                    <xdr:colOff>0</xdr:colOff>
                    <xdr:row>59</xdr:row>
                    <xdr:rowOff>236220</xdr:rowOff>
                  </to>
                </anchor>
              </controlPr>
            </control>
          </mc:Choice>
        </mc:AlternateContent>
        <mc:AlternateContent xmlns:mc="http://schemas.openxmlformats.org/markup-compatibility/2006">
          <mc:Choice Requires="x14">
            <control shapeId="25694" r:id="rId97" name="Check Box 94">
              <controlPr defaultSize="0" autoFill="0" autoLine="0" autoPict="0">
                <anchor moveWithCells="1" sizeWithCells="1">
                  <from>
                    <xdr:col>7</xdr:col>
                    <xdr:colOff>22860</xdr:colOff>
                    <xdr:row>60</xdr:row>
                    <xdr:rowOff>7620</xdr:rowOff>
                  </from>
                  <to>
                    <xdr:col>9</xdr:col>
                    <xdr:colOff>0</xdr:colOff>
                    <xdr:row>60</xdr:row>
                    <xdr:rowOff>236220</xdr:rowOff>
                  </to>
                </anchor>
              </controlPr>
            </control>
          </mc:Choice>
        </mc:AlternateContent>
        <mc:AlternateContent xmlns:mc="http://schemas.openxmlformats.org/markup-compatibility/2006">
          <mc:Choice Requires="x14">
            <control shapeId="25695" r:id="rId98" name="Check Box 95">
              <controlPr defaultSize="0" autoFill="0" autoLine="0" autoPict="0">
                <anchor moveWithCells="1" sizeWithCells="1">
                  <from>
                    <xdr:col>13</xdr:col>
                    <xdr:colOff>22860</xdr:colOff>
                    <xdr:row>64</xdr:row>
                    <xdr:rowOff>7620</xdr:rowOff>
                  </from>
                  <to>
                    <xdr:col>14</xdr:col>
                    <xdr:colOff>1089660</xdr:colOff>
                    <xdr:row>64</xdr:row>
                    <xdr:rowOff>236220</xdr:rowOff>
                  </to>
                </anchor>
              </controlPr>
            </control>
          </mc:Choice>
        </mc:AlternateContent>
        <mc:AlternateContent xmlns:mc="http://schemas.openxmlformats.org/markup-compatibility/2006">
          <mc:Choice Requires="x14">
            <control shapeId="25696" r:id="rId99" name="Check Box 96">
              <controlPr defaultSize="0" autoFill="0" autoLine="0" autoPict="0">
                <anchor moveWithCells="1" sizeWithCells="1">
                  <from>
                    <xdr:col>13</xdr:col>
                    <xdr:colOff>22860</xdr:colOff>
                    <xdr:row>65</xdr:row>
                    <xdr:rowOff>7620</xdr:rowOff>
                  </from>
                  <to>
                    <xdr:col>14</xdr:col>
                    <xdr:colOff>1089660</xdr:colOff>
                    <xdr:row>65</xdr:row>
                    <xdr:rowOff>236220</xdr:rowOff>
                  </to>
                </anchor>
              </controlPr>
            </control>
          </mc:Choice>
        </mc:AlternateContent>
        <mc:AlternateContent xmlns:mc="http://schemas.openxmlformats.org/markup-compatibility/2006">
          <mc:Choice Requires="x14">
            <control shapeId="25697" r:id="rId100" name="Check Box 97">
              <controlPr defaultSize="0" autoFill="0" autoLine="0" autoPict="0">
                <anchor moveWithCells="1" sizeWithCells="1">
                  <from>
                    <xdr:col>13</xdr:col>
                    <xdr:colOff>22860</xdr:colOff>
                    <xdr:row>66</xdr:row>
                    <xdr:rowOff>7620</xdr:rowOff>
                  </from>
                  <to>
                    <xdr:col>14</xdr:col>
                    <xdr:colOff>1089660</xdr:colOff>
                    <xdr:row>66</xdr:row>
                    <xdr:rowOff>236220</xdr:rowOff>
                  </to>
                </anchor>
              </controlPr>
            </control>
          </mc:Choice>
        </mc:AlternateContent>
        <mc:AlternateContent xmlns:mc="http://schemas.openxmlformats.org/markup-compatibility/2006">
          <mc:Choice Requires="x14">
            <control shapeId="25698" r:id="rId101" name="Check Box 98">
              <controlPr defaultSize="0" autoFill="0" autoLine="0" autoPict="0">
                <anchor moveWithCells="1" sizeWithCells="1">
                  <from>
                    <xdr:col>13</xdr:col>
                    <xdr:colOff>22860</xdr:colOff>
                    <xdr:row>67</xdr:row>
                    <xdr:rowOff>7620</xdr:rowOff>
                  </from>
                  <to>
                    <xdr:col>14</xdr:col>
                    <xdr:colOff>1089660</xdr:colOff>
                    <xdr:row>67</xdr:row>
                    <xdr:rowOff>236220</xdr:rowOff>
                  </to>
                </anchor>
              </controlPr>
            </control>
          </mc:Choice>
        </mc:AlternateContent>
        <mc:AlternateContent xmlns:mc="http://schemas.openxmlformats.org/markup-compatibility/2006">
          <mc:Choice Requires="x14">
            <control shapeId="25699" r:id="rId102" name="Check Box 99">
              <controlPr defaultSize="0" autoFill="0" autoLine="0" autoPict="0">
                <anchor moveWithCells="1" sizeWithCells="1">
                  <from>
                    <xdr:col>13</xdr:col>
                    <xdr:colOff>22860</xdr:colOff>
                    <xdr:row>68</xdr:row>
                    <xdr:rowOff>7620</xdr:rowOff>
                  </from>
                  <to>
                    <xdr:col>14</xdr:col>
                    <xdr:colOff>1089660</xdr:colOff>
                    <xdr:row>68</xdr:row>
                    <xdr:rowOff>236220</xdr:rowOff>
                  </to>
                </anchor>
              </controlPr>
            </control>
          </mc:Choice>
        </mc:AlternateContent>
        <mc:AlternateContent xmlns:mc="http://schemas.openxmlformats.org/markup-compatibility/2006">
          <mc:Choice Requires="x14">
            <control shapeId="25700" r:id="rId103" name="Check Box 100">
              <controlPr defaultSize="0" autoFill="0" autoLine="0" autoPict="0">
                <anchor moveWithCells="1" sizeWithCells="1">
                  <from>
                    <xdr:col>13</xdr:col>
                    <xdr:colOff>22860</xdr:colOff>
                    <xdr:row>69</xdr:row>
                    <xdr:rowOff>7620</xdr:rowOff>
                  </from>
                  <to>
                    <xdr:col>14</xdr:col>
                    <xdr:colOff>1089660</xdr:colOff>
                    <xdr:row>69</xdr:row>
                    <xdr:rowOff>236220</xdr:rowOff>
                  </to>
                </anchor>
              </controlPr>
            </control>
          </mc:Choice>
        </mc:AlternateContent>
        <mc:AlternateContent xmlns:mc="http://schemas.openxmlformats.org/markup-compatibility/2006">
          <mc:Choice Requires="x14">
            <control shapeId="25701" r:id="rId104" name="Check Box 101">
              <controlPr defaultSize="0" autoFill="0" autoLine="0" autoPict="0">
                <anchor moveWithCells="1" sizeWithCells="1">
                  <from>
                    <xdr:col>13</xdr:col>
                    <xdr:colOff>22860</xdr:colOff>
                    <xdr:row>59</xdr:row>
                    <xdr:rowOff>7620</xdr:rowOff>
                  </from>
                  <to>
                    <xdr:col>14</xdr:col>
                    <xdr:colOff>1089660</xdr:colOff>
                    <xdr:row>59</xdr:row>
                    <xdr:rowOff>236220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089AE-75C4-472A-93C6-F312849EE128}">
  <sheetPr codeName="Encoding_Part1">
    <pageSetUpPr fitToPage="1"/>
  </sheetPr>
  <dimension ref="A1:Q35"/>
  <sheetViews>
    <sheetView showGridLines="0" showRowColHeaders="0" topLeftCell="A21" zoomScale="76" zoomScaleNormal="76" workbookViewId="0">
      <selection activeCell="L34" sqref="L34:M34"/>
    </sheetView>
  </sheetViews>
  <sheetFormatPr defaultColWidth="9.6640625" defaultRowHeight="15.45" customHeight="1"/>
  <cols>
    <col min="1" max="1" width="15.88671875" style="20" customWidth="1"/>
    <col min="2" max="3" width="20.44140625" style="20" customWidth="1"/>
    <col min="4" max="4" width="17.6640625" style="20" customWidth="1"/>
    <col min="5" max="5" width="15.5546875" style="20" customWidth="1"/>
    <col min="6" max="7" width="13.77734375" style="20" customWidth="1"/>
    <col min="8" max="8" width="16.77734375" style="20" customWidth="1"/>
    <col min="9" max="12" width="15" style="20" customWidth="1"/>
    <col min="13" max="13" width="30.109375" style="20" customWidth="1"/>
    <col min="14" max="14" width="17.33203125" style="20" customWidth="1"/>
    <col min="15" max="15" width="32.44140625" style="20" customWidth="1"/>
    <col min="16" max="16" width="12.5546875" style="20" customWidth="1"/>
    <col min="17" max="17" width="12.5546875" style="20" hidden="1" customWidth="1"/>
    <col min="18" max="16384" width="9.6640625" style="20"/>
  </cols>
  <sheetData>
    <row r="1" spans="1:17" s="19" customFormat="1" ht="45" customHeight="1">
      <c r="A1" s="622" t="str">
        <f>HOME!A1</f>
        <v>OFFICIAL ELECTRONIC IPCRF TOOL
 SY 2025-2026</v>
      </c>
      <c r="B1" s="622"/>
      <c r="C1" s="622"/>
      <c r="D1" s="622"/>
      <c r="E1" s="622"/>
      <c r="F1" s="622"/>
      <c r="G1" s="622"/>
      <c r="H1" s="622"/>
      <c r="I1" s="622"/>
      <c r="J1" s="622"/>
      <c r="K1" s="622"/>
      <c r="L1" s="622"/>
      <c r="M1" s="622"/>
      <c r="N1" s="622"/>
      <c r="O1" s="622"/>
    </row>
    <row r="2" spans="1:17" ht="6.45" customHeight="1">
      <c r="A2" s="623"/>
      <c r="B2" s="623"/>
      <c r="C2" s="623"/>
      <c r="D2" s="623"/>
      <c r="E2" s="623"/>
      <c r="F2" s="623"/>
      <c r="G2" s="623"/>
      <c r="H2" s="623"/>
      <c r="I2" s="623"/>
      <c r="J2" s="623"/>
      <c r="K2" s="623"/>
      <c r="L2" s="623"/>
      <c r="M2" s="623"/>
      <c r="N2" s="623"/>
      <c r="O2" s="623"/>
    </row>
    <row r="3" spans="1:17" ht="21" hidden="1">
      <c r="A3" s="623"/>
      <c r="B3" s="623"/>
      <c r="C3" s="623"/>
      <c r="D3" s="623"/>
      <c r="E3" s="623"/>
      <c r="F3" s="623"/>
      <c r="G3" s="623"/>
      <c r="H3" s="623"/>
      <c r="I3" s="623"/>
      <c r="J3" s="623"/>
      <c r="K3" s="623"/>
      <c r="L3" s="623"/>
      <c r="M3" s="623"/>
      <c r="N3" s="623"/>
      <c r="O3" s="623"/>
    </row>
    <row r="4" spans="1:17" ht="364.95" customHeight="1">
      <c r="A4" s="623" t="s">
        <v>1013</v>
      </c>
      <c r="B4" s="623"/>
      <c r="C4" s="623"/>
      <c r="D4" s="623"/>
      <c r="E4" s="623"/>
      <c r="F4" s="623"/>
      <c r="G4" s="623"/>
      <c r="H4" s="623"/>
      <c r="I4" s="623"/>
      <c r="J4" s="623"/>
      <c r="K4" s="623"/>
      <c r="L4" s="623"/>
      <c r="M4" s="623"/>
      <c r="N4" s="623"/>
      <c r="O4" s="623"/>
    </row>
    <row r="5" spans="1:17" ht="9" customHeight="1">
      <c r="A5" s="165"/>
      <c r="B5" s="165"/>
      <c r="C5" s="165"/>
      <c r="D5" s="165"/>
      <c r="E5" s="165"/>
      <c r="F5" s="165"/>
      <c r="G5" s="165"/>
      <c r="H5" s="165"/>
      <c r="I5" s="165"/>
      <c r="J5" s="165"/>
      <c r="K5" s="165"/>
      <c r="L5" s="165"/>
      <c r="M5" s="165"/>
      <c r="N5" s="165"/>
      <c r="O5" s="165"/>
    </row>
    <row r="6" spans="1:17" ht="4.5" customHeight="1" thickBot="1">
      <c r="A6" s="165"/>
      <c r="B6" s="165"/>
      <c r="C6" s="165"/>
      <c r="D6" s="165"/>
      <c r="E6" s="165"/>
      <c r="F6" s="165"/>
      <c r="G6" s="165"/>
      <c r="H6" s="165"/>
      <c r="I6" s="165"/>
      <c r="J6" s="165"/>
      <c r="K6" s="165"/>
      <c r="L6" s="165"/>
      <c r="M6" s="165"/>
      <c r="N6" s="165"/>
      <c r="O6" s="165"/>
    </row>
    <row r="7" spans="1:17" ht="36.450000000000003" customHeight="1">
      <c r="A7" s="698" t="s">
        <v>128</v>
      </c>
      <c r="B7" s="699"/>
      <c r="C7" s="625" t="str">
        <f>'Demographic Profile'!N8&amp; " " &amp;LEFT('Demographic Profile'!N9,1)&amp;". "&amp;'Demographic Profile'!N7</f>
        <v>EJONIE G. DEGOLLACION</v>
      </c>
      <c r="D7" s="626"/>
      <c r="E7" s="627"/>
      <c r="F7" s="624" t="s">
        <v>1014</v>
      </c>
      <c r="G7" s="624"/>
      <c r="H7" s="628" t="s">
        <v>1670</v>
      </c>
      <c r="I7" s="629"/>
      <c r="J7" s="629"/>
      <c r="K7" s="630"/>
      <c r="L7" s="166" t="s">
        <v>1015</v>
      </c>
      <c r="M7" s="105" t="s">
        <v>1667</v>
      </c>
      <c r="N7" s="167" t="s">
        <v>1016</v>
      </c>
      <c r="O7" s="106" t="s">
        <v>1668</v>
      </c>
      <c r="Q7" s="20" t="str">
        <f>IF(O7="","",IF(AND(LEN(O7)=2,RIGHT(O7,1)="."),O7,LEFT(O7,1)&amp;"."))</f>
        <v>B.</v>
      </c>
    </row>
    <row r="8" spans="1:17" ht="36.450000000000003" customHeight="1">
      <c r="A8" s="700" t="s">
        <v>0</v>
      </c>
      <c r="B8" s="701"/>
      <c r="C8" s="662" t="str">
        <f>'Demographic Profile'!N11</f>
        <v>Teacher III</v>
      </c>
      <c r="D8" s="663"/>
      <c r="E8" s="664"/>
      <c r="F8" s="679" t="s">
        <v>1017</v>
      </c>
      <c r="G8" s="679"/>
      <c r="H8" s="642" t="s">
        <v>863</v>
      </c>
      <c r="I8" s="643"/>
      <c r="J8" s="643"/>
      <c r="K8" s="644"/>
      <c r="L8" s="168" t="s">
        <v>1259</v>
      </c>
      <c r="M8" s="648" t="s">
        <v>1669</v>
      </c>
      <c r="N8" s="643"/>
      <c r="O8" s="644"/>
    </row>
    <row r="9" spans="1:17" ht="36.450000000000003" customHeight="1" thickBot="1">
      <c r="A9" s="696" t="s">
        <v>1018</v>
      </c>
      <c r="B9" s="697"/>
      <c r="C9" s="662" t="str">
        <f>'Demographic Profile'!F8</f>
        <v xml:space="preserve">Lapu-Lapu City </v>
      </c>
      <c r="D9" s="663"/>
      <c r="E9" s="664"/>
      <c r="F9" s="680" t="s">
        <v>1019</v>
      </c>
      <c r="G9" s="680"/>
      <c r="H9" s="645">
        <v>46112</v>
      </c>
      <c r="I9" s="646"/>
      <c r="J9" s="646"/>
      <c r="K9" s="647"/>
      <c r="L9" s="169"/>
      <c r="M9" s="170"/>
      <c r="N9" s="39"/>
      <c r="O9" s="40"/>
    </row>
    <row r="10" spans="1:17" ht="36.450000000000003" customHeight="1" thickBot="1">
      <c r="A10" s="702" t="s">
        <v>1258</v>
      </c>
      <c r="B10" s="703"/>
      <c r="C10" s="665" t="str">
        <f>'Demographic Profile'!B3</f>
        <v>SY 2025-2026</v>
      </c>
      <c r="D10" s="666"/>
      <c r="E10" s="667"/>
      <c r="F10" s="692"/>
      <c r="G10" s="692"/>
      <c r="H10" s="693"/>
      <c r="I10" s="693"/>
      <c r="J10" s="693"/>
      <c r="K10" s="693"/>
      <c r="L10" s="693"/>
      <c r="M10" s="693"/>
      <c r="N10" s="693"/>
      <c r="O10" s="694"/>
    </row>
    <row r="11" spans="1:17" ht="19.05" customHeight="1">
      <c r="A11" s="681" t="s">
        <v>132</v>
      </c>
      <c r="B11" s="707" t="s">
        <v>1256</v>
      </c>
      <c r="C11" s="674" t="s">
        <v>1020</v>
      </c>
      <c r="D11" s="676" t="s">
        <v>133</v>
      </c>
      <c r="E11" s="591" t="s">
        <v>1021</v>
      </c>
      <c r="F11" s="681" t="s">
        <v>1022</v>
      </c>
      <c r="G11" s="671"/>
      <c r="H11" s="592" t="s">
        <v>1484</v>
      </c>
      <c r="I11" s="682" t="s">
        <v>1023</v>
      </c>
      <c r="J11" s="683"/>
      <c r="K11" s="683"/>
      <c r="L11" s="683"/>
      <c r="M11" s="684"/>
      <c r="N11" s="688" t="s">
        <v>135</v>
      </c>
      <c r="O11" s="671" t="s">
        <v>136</v>
      </c>
    </row>
    <row r="12" spans="1:17" ht="27" customHeight="1">
      <c r="A12" s="705"/>
      <c r="B12" s="708"/>
      <c r="C12" s="675"/>
      <c r="D12" s="677"/>
      <c r="E12" s="619"/>
      <c r="F12" s="649" t="s">
        <v>5</v>
      </c>
      <c r="G12" s="677" t="s">
        <v>1257</v>
      </c>
      <c r="H12" s="620"/>
      <c r="I12" s="685"/>
      <c r="J12" s="686"/>
      <c r="K12" s="686"/>
      <c r="L12" s="686"/>
      <c r="M12" s="687"/>
      <c r="N12" s="689"/>
      <c r="O12" s="672"/>
    </row>
    <row r="13" spans="1:17" ht="30" customHeight="1" thickBot="1">
      <c r="A13" s="706"/>
      <c r="B13" s="708"/>
      <c r="C13" s="675"/>
      <c r="D13" s="678"/>
      <c r="E13" s="619"/>
      <c r="F13" s="650"/>
      <c r="G13" s="691"/>
      <c r="H13" s="620"/>
      <c r="I13" s="171" t="s">
        <v>1385</v>
      </c>
      <c r="J13" s="172" t="s">
        <v>1386</v>
      </c>
      <c r="K13" s="173" t="s">
        <v>138</v>
      </c>
      <c r="L13" s="173" t="s">
        <v>139</v>
      </c>
      <c r="M13" s="173" t="s">
        <v>140</v>
      </c>
      <c r="N13" s="690"/>
      <c r="O13" s="673"/>
    </row>
    <row r="14" spans="1:17" s="49" customFormat="1" ht="24" customHeight="1">
      <c r="A14" s="704" t="s">
        <v>145</v>
      </c>
      <c r="B14" s="174" t="str" cm="1">
        <f t="array" ref="B14:B27">IFERROR(CHOOSE(MATCH(selected_career_stage,competency_level,0),BtP_Ind,P_Ind,HP_Ind,D_Ind),"")</f>
        <v>1.1.2</v>
      </c>
      <c r="C14" s="174" t="str" cm="1">
        <f t="array" ref="C14:C27">IFERROR(CHOOSE(MATCH(selected_career_stage,competency_level,0),BtP_COI,P_COI,HP_COI,D_COI),"")</f>
        <v>COI</v>
      </c>
      <c r="D14" s="175">
        <v>6.7857142859999997E-2</v>
      </c>
      <c r="E14" s="176" cm="1">
        <f t="array" ref="E14:E27">IFERROR(CHOOSE(MATCH(selected_career_stage,competency_level,0),BtP_COTno,P_COTno,HP_COTno,D_COTno),"")</f>
        <v>1</v>
      </c>
      <c r="F14" s="143">
        <v>6</v>
      </c>
      <c r="G14" s="177">
        <f t="shared" ref="G14:G27" ca="1" si="0">IFERROR(VLOOKUP(F14,INDIRECT(VLOOKUP(selected_career_stage,competency_level_vlookup,2,0)&amp;"_COT_vlookup"),2,0),"")</f>
        <v>5</v>
      </c>
      <c r="H14" s="178">
        <f ca="1">G14</f>
        <v>5</v>
      </c>
      <c r="I14" s="496">
        <f t="shared" ref="I14:I20" ca="1" si="1">G14</f>
        <v>5</v>
      </c>
      <c r="J14" s="487"/>
      <c r="K14" s="488"/>
      <c r="L14" s="488"/>
      <c r="M14" s="179">
        <f ca="1">IFERROR(ROUND(AVERAGE(I14:L14),4),0)</f>
        <v>5</v>
      </c>
      <c r="N14" s="179">
        <f ca="1">ROUND((M14*D14),5)</f>
        <v>0.33928999999999998</v>
      </c>
      <c r="O14" s="180" t="str">
        <f ca="1">IFERROR(VLOOKUP(ROUND($M14,3),rating_desc_vlookup,2,TRUE),"")</f>
        <v>Outstanding</v>
      </c>
    </row>
    <row r="15" spans="1:17" s="49" customFormat="1" ht="24" customHeight="1">
      <c r="A15" s="669"/>
      <c r="B15" s="181" t="str">
        <v>1.4.2</v>
      </c>
      <c r="C15" s="182" t="str">
        <v>COI</v>
      </c>
      <c r="D15" s="183">
        <v>6.7857142859999997E-2</v>
      </c>
      <c r="E15" s="184">
        <v>2</v>
      </c>
      <c r="F15" s="144">
        <v>6</v>
      </c>
      <c r="G15" s="177">
        <f t="shared" ca="1" si="0"/>
        <v>5</v>
      </c>
      <c r="H15" s="185">
        <f t="shared" ref="H15:H27" ca="1" si="2">G15</f>
        <v>5</v>
      </c>
      <c r="I15" s="497">
        <f t="shared" ca="1" si="1"/>
        <v>5</v>
      </c>
      <c r="J15" s="490"/>
      <c r="K15" s="491"/>
      <c r="L15" s="491"/>
      <c r="M15" s="186">
        <f t="shared" ref="M15:M27" ca="1" si="3">IFERROR(ROUND(AVERAGE(I15:L15),4),0)</f>
        <v>5</v>
      </c>
      <c r="N15" s="186">
        <f t="shared" ref="N15:N27" ca="1" si="4">ROUND((M15*D15),5)</f>
        <v>0.33928999999999998</v>
      </c>
      <c r="O15" s="187" t="str">
        <f t="shared" ref="O15:O27" ca="1" si="5">IFERROR(VLOOKUP(ROUND($M15,3),rating_desc_vlookup,2,TRUE),"")</f>
        <v>Outstanding</v>
      </c>
    </row>
    <row r="16" spans="1:17" s="49" customFormat="1" ht="24" customHeight="1">
      <c r="A16" s="670"/>
      <c r="B16" s="181" t="str">
        <v>1.5.2</v>
      </c>
      <c r="C16" s="182" t="str">
        <v>COI</v>
      </c>
      <c r="D16" s="183">
        <v>6.7857142859999997E-2</v>
      </c>
      <c r="E16" s="184">
        <v>3</v>
      </c>
      <c r="F16" s="145">
        <v>6</v>
      </c>
      <c r="G16" s="188">
        <f t="shared" ca="1" si="0"/>
        <v>5</v>
      </c>
      <c r="H16" s="185">
        <f t="shared" ca="1" si="2"/>
        <v>5</v>
      </c>
      <c r="I16" s="497">
        <f t="shared" ca="1" si="1"/>
        <v>5</v>
      </c>
      <c r="J16" s="490"/>
      <c r="K16" s="491"/>
      <c r="L16" s="491"/>
      <c r="M16" s="186">
        <f t="shared" ca="1" si="3"/>
        <v>5</v>
      </c>
      <c r="N16" s="186">
        <f t="shared" ca="1" si="4"/>
        <v>0.33928999999999998</v>
      </c>
      <c r="O16" s="187" t="str">
        <f t="shared" ca="1" si="5"/>
        <v>Outstanding</v>
      </c>
    </row>
    <row r="17" spans="1:15" s="49" customFormat="1" ht="24" customHeight="1">
      <c r="A17" s="668" t="s">
        <v>146</v>
      </c>
      <c r="B17" s="181" t="str">
        <v>2.3.2</v>
      </c>
      <c r="C17" s="182" t="str">
        <v>COI</v>
      </c>
      <c r="D17" s="183">
        <v>6.7857142859999997E-2</v>
      </c>
      <c r="E17" s="184">
        <v>4</v>
      </c>
      <c r="F17" s="144">
        <v>6</v>
      </c>
      <c r="G17" s="189">
        <f t="shared" ca="1" si="0"/>
        <v>5</v>
      </c>
      <c r="H17" s="185">
        <f t="shared" ca="1" si="2"/>
        <v>5</v>
      </c>
      <c r="I17" s="497">
        <f t="shared" ca="1" si="1"/>
        <v>5</v>
      </c>
      <c r="J17" s="490"/>
      <c r="K17" s="491"/>
      <c r="L17" s="491"/>
      <c r="M17" s="186">
        <f t="shared" ca="1" si="3"/>
        <v>5</v>
      </c>
      <c r="N17" s="186">
        <f t="shared" ca="1" si="4"/>
        <v>0.33928999999999998</v>
      </c>
      <c r="O17" s="187" t="str">
        <f t="shared" ca="1" si="5"/>
        <v>Outstanding</v>
      </c>
    </row>
    <row r="18" spans="1:15" s="49" customFormat="1" ht="24" customHeight="1">
      <c r="A18" s="670"/>
      <c r="B18" s="181" t="str">
        <v>2.6.2</v>
      </c>
      <c r="C18" s="182" t="str">
        <v>COI</v>
      </c>
      <c r="D18" s="183">
        <v>6.7857142859999997E-2</v>
      </c>
      <c r="E18" s="184">
        <v>5</v>
      </c>
      <c r="F18" s="144">
        <v>6</v>
      </c>
      <c r="G18" s="189">
        <f t="shared" ca="1" si="0"/>
        <v>5</v>
      </c>
      <c r="H18" s="185">
        <f t="shared" ca="1" si="2"/>
        <v>5</v>
      </c>
      <c r="I18" s="497">
        <f t="shared" ca="1" si="1"/>
        <v>5</v>
      </c>
      <c r="J18" s="490"/>
      <c r="K18" s="491"/>
      <c r="L18" s="491"/>
      <c r="M18" s="186">
        <f t="shared" ca="1" si="3"/>
        <v>5</v>
      </c>
      <c r="N18" s="186">
        <f t="shared" ca="1" si="4"/>
        <v>0.33928999999999998</v>
      </c>
      <c r="O18" s="187" t="str">
        <f t="shared" ca="1" si="5"/>
        <v>Outstanding</v>
      </c>
    </row>
    <row r="19" spans="1:15" s="49" customFormat="1" ht="24" customHeight="1">
      <c r="A19" s="190" t="s">
        <v>147</v>
      </c>
      <c r="B19" s="181" t="str">
        <v>3.1.2</v>
      </c>
      <c r="C19" s="182" t="str">
        <v>COI</v>
      </c>
      <c r="D19" s="183">
        <v>6.7857142859999997E-2</v>
      </c>
      <c r="E19" s="184">
        <v>6</v>
      </c>
      <c r="F19" s="143">
        <v>5</v>
      </c>
      <c r="G19" s="177">
        <f t="shared" ca="1" si="0"/>
        <v>4</v>
      </c>
      <c r="H19" s="185">
        <f t="shared" ca="1" si="2"/>
        <v>4</v>
      </c>
      <c r="I19" s="497">
        <f t="shared" ca="1" si="1"/>
        <v>4</v>
      </c>
      <c r="J19" s="490"/>
      <c r="K19" s="491"/>
      <c r="L19" s="491"/>
      <c r="M19" s="186">
        <f t="shared" ca="1" si="3"/>
        <v>4</v>
      </c>
      <c r="N19" s="186">
        <f t="shared" ca="1" si="4"/>
        <v>0.27143</v>
      </c>
      <c r="O19" s="187" t="str">
        <f t="shared" ca="1" si="5"/>
        <v>Very Satisfactory</v>
      </c>
    </row>
    <row r="20" spans="1:15" s="49" customFormat="1" ht="24" customHeight="1">
      <c r="A20" s="668" t="s">
        <v>148</v>
      </c>
      <c r="B20" s="181" t="str">
        <v>4.1.2</v>
      </c>
      <c r="C20" s="182" t="str">
        <v>COI</v>
      </c>
      <c r="D20" s="183">
        <v>6.7857142859999997E-2</v>
      </c>
      <c r="E20" s="184">
        <v>7</v>
      </c>
      <c r="F20" s="144">
        <v>6</v>
      </c>
      <c r="G20" s="177">
        <f t="shared" ca="1" si="0"/>
        <v>5</v>
      </c>
      <c r="H20" s="185">
        <f t="shared" ca="1" si="2"/>
        <v>5</v>
      </c>
      <c r="I20" s="497">
        <f t="shared" ca="1" si="1"/>
        <v>5</v>
      </c>
      <c r="J20" s="490"/>
      <c r="K20" s="491"/>
      <c r="L20" s="491"/>
      <c r="M20" s="186">
        <f t="shared" ca="1" si="3"/>
        <v>5</v>
      </c>
      <c r="N20" s="186">
        <f t="shared" ca="1" si="4"/>
        <v>0.33928999999999998</v>
      </c>
      <c r="O20" s="187" t="str">
        <f t="shared" ca="1" si="5"/>
        <v>Outstanding</v>
      </c>
    </row>
    <row r="21" spans="1:15" s="49" customFormat="1" ht="24" customHeight="1">
      <c r="A21" s="669"/>
      <c r="B21" s="181" t="str">
        <v>4.4.2</v>
      </c>
      <c r="C21" s="182" t="str">
        <v>NCOI</v>
      </c>
      <c r="D21" s="183">
        <v>6.7857142859999997E-2</v>
      </c>
      <c r="E21" s="184" t="str">
        <v xml:space="preserve"> </v>
      </c>
      <c r="F21" s="484"/>
      <c r="G21" s="177" t="str">
        <f t="shared" ca="1" si="0"/>
        <v/>
      </c>
      <c r="H21" s="185" t="str">
        <f t="shared" ca="1" si="2"/>
        <v/>
      </c>
      <c r="I21" s="489">
        <v>5</v>
      </c>
      <c r="J21" s="490"/>
      <c r="K21" s="491"/>
      <c r="L21" s="492">
        <v>4</v>
      </c>
      <c r="M21" s="186">
        <f t="shared" si="3"/>
        <v>4.5</v>
      </c>
      <c r="N21" s="186">
        <f t="shared" si="4"/>
        <v>0.30536000000000002</v>
      </c>
      <c r="O21" s="187" t="str">
        <f t="shared" si="5"/>
        <v>Outstanding</v>
      </c>
    </row>
    <row r="22" spans="1:15" s="49" customFormat="1" ht="24" customHeight="1">
      <c r="A22" s="670"/>
      <c r="B22" s="181" t="str">
        <v>4.5.2</v>
      </c>
      <c r="C22" s="182" t="str">
        <v>COI</v>
      </c>
      <c r="D22" s="183">
        <v>6.7857142859999997E-2</v>
      </c>
      <c r="E22" s="184">
        <v>8</v>
      </c>
      <c r="F22" s="144">
        <v>6</v>
      </c>
      <c r="G22" s="177">
        <f t="shared" ca="1" si="0"/>
        <v>5</v>
      </c>
      <c r="H22" s="185">
        <f t="shared" ca="1" si="2"/>
        <v>5</v>
      </c>
      <c r="I22" s="497">
        <f ca="1">G22</f>
        <v>5</v>
      </c>
      <c r="J22" s="490"/>
      <c r="K22" s="491"/>
      <c r="L22" s="491"/>
      <c r="M22" s="186">
        <f t="shared" ca="1" si="3"/>
        <v>5</v>
      </c>
      <c r="N22" s="186">
        <f t="shared" ca="1" si="4"/>
        <v>0.33928999999999998</v>
      </c>
      <c r="O22" s="187" t="str">
        <f t="shared" ca="1" si="5"/>
        <v>Outstanding</v>
      </c>
    </row>
    <row r="23" spans="1:15" s="49" customFormat="1" ht="24" customHeight="1">
      <c r="A23" s="668" t="s">
        <v>149</v>
      </c>
      <c r="B23" s="181" t="str">
        <v>5.1.2</v>
      </c>
      <c r="C23" s="182" t="str">
        <v>COI</v>
      </c>
      <c r="D23" s="183">
        <v>6.7857142859999997E-2</v>
      </c>
      <c r="E23" s="191">
        <v>9</v>
      </c>
      <c r="F23" s="146">
        <v>5</v>
      </c>
      <c r="G23" s="192">
        <f t="shared" ca="1" si="0"/>
        <v>4</v>
      </c>
      <c r="H23" s="185">
        <f t="shared" ca="1" si="2"/>
        <v>4</v>
      </c>
      <c r="I23" s="497">
        <f ca="1">G23</f>
        <v>4</v>
      </c>
      <c r="J23" s="490"/>
      <c r="K23" s="491"/>
      <c r="L23" s="491"/>
      <c r="M23" s="186">
        <f t="shared" ca="1" si="3"/>
        <v>4</v>
      </c>
      <c r="N23" s="186">
        <f t="shared" ca="1" si="4"/>
        <v>0.27143</v>
      </c>
      <c r="O23" s="187" t="str">
        <f t="shared" ca="1" si="5"/>
        <v>Very Satisfactory</v>
      </c>
    </row>
    <row r="24" spans="1:15" s="49" customFormat="1" ht="24" customHeight="1">
      <c r="A24" s="669"/>
      <c r="B24" s="181" t="str">
        <v>5.2.2</v>
      </c>
      <c r="C24" s="182" t="str">
        <v>NCOI</v>
      </c>
      <c r="D24" s="183">
        <v>6.7857142859999997E-2</v>
      </c>
      <c r="E24" s="191" t="str">
        <v xml:space="preserve"> </v>
      </c>
      <c r="F24" s="485"/>
      <c r="G24" s="192" t="str">
        <f t="shared" ca="1" si="0"/>
        <v/>
      </c>
      <c r="H24" s="185" t="str">
        <f t="shared" ca="1" si="2"/>
        <v/>
      </c>
      <c r="I24" s="489">
        <v>4</v>
      </c>
      <c r="J24" s="490"/>
      <c r="K24" s="491"/>
      <c r="L24" s="491"/>
      <c r="M24" s="186">
        <f t="shared" si="3"/>
        <v>4</v>
      </c>
      <c r="N24" s="186">
        <f t="shared" si="4"/>
        <v>0.27143</v>
      </c>
      <c r="O24" s="187" t="str">
        <f t="shared" si="5"/>
        <v>Very Satisfactory</v>
      </c>
    </row>
    <row r="25" spans="1:15" s="49" customFormat="1" ht="24" customHeight="1">
      <c r="A25" s="670"/>
      <c r="B25" s="181" t="str">
        <v>5.4.2</v>
      </c>
      <c r="C25" s="182" t="str">
        <v>NCOI</v>
      </c>
      <c r="D25" s="183">
        <v>6.7857142859999997E-2</v>
      </c>
      <c r="E25" s="191" t="str">
        <v xml:space="preserve"> </v>
      </c>
      <c r="F25" s="485"/>
      <c r="G25" s="192" t="str">
        <f t="shared" ca="1" si="0"/>
        <v/>
      </c>
      <c r="H25" s="185" t="str">
        <f t="shared" ca="1" si="2"/>
        <v/>
      </c>
      <c r="I25" s="489">
        <v>5</v>
      </c>
      <c r="J25" s="490"/>
      <c r="K25" s="492">
        <v>4</v>
      </c>
      <c r="L25" s="492">
        <v>4</v>
      </c>
      <c r="M25" s="186">
        <f t="shared" si="3"/>
        <v>4.3333000000000004</v>
      </c>
      <c r="N25" s="186">
        <f t="shared" si="4"/>
        <v>0.29404999999999998</v>
      </c>
      <c r="O25" s="187" t="str">
        <f t="shared" si="5"/>
        <v>Very Satisfactory</v>
      </c>
    </row>
    <row r="26" spans="1:15" s="49" customFormat="1" ht="24" customHeight="1">
      <c r="A26" s="668" t="s">
        <v>150</v>
      </c>
      <c r="B26" s="181" t="str">
        <v>7.1.2</v>
      </c>
      <c r="C26" s="182" t="str">
        <v>NCOI</v>
      </c>
      <c r="D26" s="183">
        <v>6.7857142859999997E-2</v>
      </c>
      <c r="E26" s="191" t="str">
        <v xml:space="preserve"> </v>
      </c>
      <c r="F26" s="485"/>
      <c r="G26" s="192" t="str">
        <f t="shared" ca="1" si="0"/>
        <v/>
      </c>
      <c r="H26" s="185" t="str">
        <f t="shared" ca="1" si="2"/>
        <v/>
      </c>
      <c r="I26" s="489">
        <v>4</v>
      </c>
      <c r="J26" s="490"/>
      <c r="K26" s="491"/>
      <c r="L26" s="491"/>
      <c r="M26" s="186">
        <f t="shared" si="3"/>
        <v>4</v>
      </c>
      <c r="N26" s="186">
        <f t="shared" si="4"/>
        <v>0.27143</v>
      </c>
      <c r="O26" s="187" t="str">
        <f t="shared" si="5"/>
        <v>Very Satisfactory</v>
      </c>
    </row>
    <row r="27" spans="1:15" s="49" customFormat="1" ht="24" customHeight="1" thickBot="1">
      <c r="A27" s="695"/>
      <c r="B27" s="193" t="str">
        <v>7.5.2</v>
      </c>
      <c r="C27" s="194" t="str">
        <v>NCOI</v>
      </c>
      <c r="D27" s="195">
        <v>6.7857142859999997E-2</v>
      </c>
      <c r="E27" s="196" t="str">
        <v xml:space="preserve"> </v>
      </c>
      <c r="F27" s="486"/>
      <c r="G27" s="197" t="str">
        <f t="shared" ca="1" si="0"/>
        <v/>
      </c>
      <c r="H27" s="198" t="str">
        <f t="shared" ca="1" si="2"/>
        <v/>
      </c>
      <c r="I27" s="493">
        <v>5</v>
      </c>
      <c r="J27" s="494"/>
      <c r="K27" s="495">
        <v>4</v>
      </c>
      <c r="L27" s="495">
        <v>4</v>
      </c>
      <c r="M27" s="199">
        <f t="shared" si="3"/>
        <v>4.3333000000000004</v>
      </c>
      <c r="N27" s="200">
        <f t="shared" si="4"/>
        <v>0.29404999999999998</v>
      </c>
      <c r="O27" s="201" t="str">
        <f t="shared" si="5"/>
        <v>Very Satisfactory</v>
      </c>
    </row>
    <row r="28" spans="1:15" s="49" customFormat="1" ht="25.05" customHeight="1">
      <c r="A28" s="202"/>
      <c r="B28" s="203"/>
      <c r="C28" s="203"/>
      <c r="D28" s="203"/>
      <c r="E28" s="204" t="s">
        <v>1024</v>
      </c>
      <c r="F28" s="658">
        <v>45939</v>
      </c>
      <c r="G28" s="659"/>
      <c r="H28" s="632" t="s">
        <v>1497</v>
      </c>
      <c r="I28" s="632"/>
      <c r="J28" s="632"/>
      <c r="K28" s="632"/>
      <c r="L28" s="632"/>
      <c r="M28" s="632"/>
      <c r="N28" s="660">
        <f ca="1">ROUND(SUM(N14:N27),3)</f>
        <v>4.3540000000000001</v>
      </c>
      <c r="O28" s="661"/>
    </row>
    <row r="29" spans="1:15" s="49" customFormat="1" ht="27" customHeight="1" thickBot="1">
      <c r="A29" s="205"/>
      <c r="B29" s="206"/>
      <c r="C29" s="206"/>
      <c r="D29" s="206"/>
      <c r="E29" s="207" t="s">
        <v>1026</v>
      </c>
      <c r="F29" s="651" t="str" cm="1">
        <f t="array" ref="F29">IF(SUMPRODUCT((E14:E27&lt;&gt;" ")*(F14:F27=""))&gt;0,"Incomplete","Complete")</f>
        <v>Complete</v>
      </c>
      <c r="G29" s="652"/>
      <c r="H29" s="653" t="s">
        <v>141</v>
      </c>
      <c r="I29" s="654"/>
      <c r="J29" s="654"/>
      <c r="K29" s="654"/>
      <c r="L29" s="654"/>
      <c r="M29" s="655"/>
      <c r="N29" s="656" t="str">
        <f ca="1">VLOOKUP(final_rating,adjectivalrating,2)</f>
        <v>Very Satisfactory</v>
      </c>
      <c r="O29" s="657"/>
    </row>
    <row r="30" spans="1:15" ht="15.45" customHeight="1">
      <c r="D30" s="208"/>
    </row>
    <row r="31" spans="1:15" ht="15.45" customHeight="1">
      <c r="B31" s="20" t="s">
        <v>1027</v>
      </c>
      <c r="F31" s="20" t="s">
        <v>1028</v>
      </c>
    </row>
    <row r="33" spans="1:17" ht="25.05" customHeight="1">
      <c r="A33" s="209"/>
      <c r="B33" s="641" t="str">
        <f>M7&amp;" "&amp;Q7&amp;" "&amp;H7</f>
        <v>GLORIFEL B. SAREÑO</v>
      </c>
      <c r="C33" s="641"/>
      <c r="D33" s="641"/>
      <c r="E33" s="210"/>
      <c r="F33" s="211" t="s">
        <v>1029</v>
      </c>
      <c r="G33" s="633" t="s">
        <v>1671</v>
      </c>
      <c r="H33" s="634"/>
      <c r="I33" s="635"/>
      <c r="J33" s="212"/>
      <c r="K33" s="211" t="s">
        <v>1030</v>
      </c>
      <c r="L33" s="640" t="s">
        <v>1672</v>
      </c>
      <c r="M33" s="640"/>
      <c r="N33" s="211" t="s">
        <v>1016</v>
      </c>
      <c r="O33" s="107" t="s">
        <v>1673</v>
      </c>
      <c r="Q33" s="20" t="str">
        <f>IF(7="","",LEFT(O33,1)&amp;".")</f>
        <v>C.</v>
      </c>
    </row>
    <row r="34" spans="1:17" ht="25.05" customHeight="1">
      <c r="A34" s="631"/>
      <c r="B34" s="631"/>
      <c r="C34" s="213"/>
      <c r="D34" s="214" t="s">
        <v>176</v>
      </c>
      <c r="E34" s="214"/>
      <c r="F34" s="215" t="s">
        <v>1017</v>
      </c>
      <c r="G34" s="636" t="s">
        <v>885</v>
      </c>
      <c r="H34" s="637"/>
      <c r="I34" s="638"/>
      <c r="J34" s="216"/>
      <c r="K34" s="217" t="s">
        <v>1317</v>
      </c>
      <c r="L34" s="639" t="s">
        <v>1674</v>
      </c>
      <c r="M34" s="639"/>
      <c r="O34" s="218"/>
    </row>
    <row r="35" spans="1:17" ht="213" customHeight="1" thickBot="1">
      <c r="A35" s="219"/>
      <c r="B35" s="219"/>
      <c r="C35" s="219"/>
      <c r="D35" s="219"/>
      <c r="E35" s="219"/>
      <c r="F35" s="219"/>
      <c r="G35" s="219"/>
      <c r="H35" s="219"/>
      <c r="I35" s="219"/>
      <c r="J35" s="219"/>
      <c r="K35" s="219"/>
      <c r="L35" s="219"/>
      <c r="M35" s="219"/>
      <c r="N35" s="219"/>
      <c r="O35" s="219"/>
    </row>
  </sheetData>
  <sheetProtection algorithmName="SHA-512" hashValue="COHoad7QJLm+nbOhCiW3WvHIAowMxGV6K3KL6/54xr4bn40DwNianRTMay+LLEB/yL5vf9aBv925Yf9YX4HTlQ==" saltValue="dF3sPIUST8DlOjcAdNNNJQ==" spinCount="100000" sheet="1" objects="1" scenarios="1" selectLockedCells="1"/>
  <mergeCells count="49">
    <mergeCell ref="A26:A27"/>
    <mergeCell ref="A9:B9"/>
    <mergeCell ref="A7:B7"/>
    <mergeCell ref="A8:B8"/>
    <mergeCell ref="A10:B10"/>
    <mergeCell ref="A17:A18"/>
    <mergeCell ref="A14:A16"/>
    <mergeCell ref="A11:A13"/>
    <mergeCell ref="B11:B13"/>
    <mergeCell ref="A20:A22"/>
    <mergeCell ref="C8:E8"/>
    <mergeCell ref="C9:E9"/>
    <mergeCell ref="C10:E10"/>
    <mergeCell ref="A23:A25"/>
    <mergeCell ref="O11:O13"/>
    <mergeCell ref="C11:C13"/>
    <mergeCell ref="D11:D13"/>
    <mergeCell ref="F8:G8"/>
    <mergeCell ref="F9:G9"/>
    <mergeCell ref="E11:E13"/>
    <mergeCell ref="F11:G11"/>
    <mergeCell ref="I11:M12"/>
    <mergeCell ref="N11:N13"/>
    <mergeCell ref="H11:H13"/>
    <mergeCell ref="G12:G13"/>
    <mergeCell ref="F10:O10"/>
    <mergeCell ref="H8:K8"/>
    <mergeCell ref="H9:K9"/>
    <mergeCell ref="M8:O8"/>
    <mergeCell ref="F12:F13"/>
    <mergeCell ref="F29:G29"/>
    <mergeCell ref="H29:M29"/>
    <mergeCell ref="N29:O29"/>
    <mergeCell ref="F28:G28"/>
    <mergeCell ref="N28:O28"/>
    <mergeCell ref="A34:B34"/>
    <mergeCell ref="H28:M28"/>
    <mergeCell ref="G33:I33"/>
    <mergeCell ref="G34:I34"/>
    <mergeCell ref="L34:M34"/>
    <mergeCell ref="L33:M33"/>
    <mergeCell ref="B33:D33"/>
    <mergeCell ref="A1:O1"/>
    <mergeCell ref="A2:O2"/>
    <mergeCell ref="A3:O3"/>
    <mergeCell ref="A4:O4"/>
    <mergeCell ref="F7:G7"/>
    <mergeCell ref="C7:E7"/>
    <mergeCell ref="H7:K7"/>
  </mergeCells>
  <conditionalFormatting sqref="E14:H27">
    <cfRule type="expression" dxfId="59" priority="2">
      <formula>$C14="NCOI"</formula>
    </cfRule>
  </conditionalFormatting>
  <conditionalFormatting sqref="M9:O9">
    <cfRule type="expression" dxfId="58" priority="3">
      <formula>PART1_locked</formula>
    </cfRule>
  </conditionalFormatting>
  <conditionalFormatting sqref="H7:K9 M7 O7 M8:O8 G33:I34 L33:M34 O33 F14:F27 F28">
    <cfRule type="expression" dxfId="57" priority="4">
      <formula>TRUE</formula>
    </cfRule>
  </conditionalFormatting>
  <conditionalFormatting sqref="A1:H27 A28:L1048576 I1:L13 M1:XFD1048576">
    <cfRule type="expression" dxfId="56" priority="5">
      <formula>selected_career_stage="Distinguished"</formula>
    </cfRule>
    <cfRule type="expression" dxfId="55" priority="6">
      <formula>selected_career_stage="Highly Proficient"</formula>
    </cfRule>
    <cfRule type="expression" dxfId="54" priority="18">
      <formula>selected_career_stage="Proficient"</formula>
    </cfRule>
    <cfRule type="expression" dxfId="53" priority="23">
      <formula>selected_career_stage="Beginning towards Proficient"</formula>
    </cfRule>
  </conditionalFormatting>
  <conditionalFormatting sqref="F29:G29">
    <cfRule type="cellIs" dxfId="52" priority="1" operator="equal">
      <formula>"Incomplete"</formula>
    </cfRule>
  </conditionalFormatting>
  <dataValidations xWindow="1552" yWindow="394" count="16">
    <dataValidation allowBlank="1" showInputMessage="1" showErrorMessage="1" promptTitle="Approving Authority's First Name" prompt="ALL CAPS:_x000a_ex.: JOSE" sqref="L33" xr:uid="{345C957D-1662-42FA-9A46-EF1FBCE36C74}"/>
    <dataValidation type="textLength" operator="greaterThanOrEqual" allowBlank="1" showInputMessage="1" showErrorMessage="1" promptTitle="Rater's First Name" prompt="ALL CAPS:_x000a_ex: JOSE" sqref="M7:N7" xr:uid="{AECC4724-EA03-48DB-B016-ED608E0DEE3F}">
      <formula1>1</formula1>
    </dataValidation>
    <dataValidation type="textLength" operator="greaterThanOrEqual" allowBlank="1" showInputMessage="1" showErrorMessage="1" promptTitle="Rater's Last Name" prompt="ALL CAPS:_x000a_ex: RIZAL" sqref="H7" xr:uid="{CAEB49E1-04AF-4A4E-912D-0C17561B2BF8}">
      <formula1>1</formula1>
    </dataValidation>
    <dataValidation type="date" operator="greaterThan" allowBlank="1" showInputMessage="1" showErrorMessage="1" errorTitle="Invalid Date" error="Please type a valid date within the rating period. Use the following format: yyyy-mm-dd. The year must not be earlier than 2021." promptTitle="Date of Review" prompt="Type in your date of review. Use the following format: yyyy-mm-dd." sqref="H9" xr:uid="{F1D1F315-F35A-49D9-8F11-6CCCFB5FC6F5}">
      <formula1>44197</formula1>
    </dataValidation>
    <dataValidation type="date" operator="greaterThan" allowBlank="1" showInputMessage="1" showErrorMessage="1" errorTitle="Invalid Date" error="Please type a valid date within the rating period. Use the following format: yyyy-mm-dd. The year must not be earlier than 2021." promptTitle="Date Observed" prompt="Type in the date when the ratee was observed._x000a_yyyy-mm-dd" sqref="F28:G28" xr:uid="{7B9E3C4D-9AEC-4CE9-A76D-DEE6FA27F1D2}">
      <formula1>44197</formula1>
    </dataValidation>
    <dataValidation allowBlank="1" showInputMessage="1" showErrorMessage="1" promptTitle="Rater's DepEd Email Address" prompt="Input the rater's DepEd Email." sqref="M8" xr:uid="{355D3F21-6904-491F-83AA-35A7EB88156D}"/>
    <dataValidation type="textLength" operator="greaterThanOrEqual" allowBlank="1" showInputMessage="1" showErrorMessage="1" promptTitle="Rater's Middle Name" prompt="ALL CAPS:_x000a_ex: PROTASIO" sqref="O7" xr:uid="{7B6D2A6A-23DF-427C-87AA-A6EF41EEE6A8}">
      <formula1>1</formula1>
    </dataValidation>
    <dataValidation allowBlank="1" showInputMessage="1" showErrorMessage="1" promptTitle="Approving Authority's DepEdEmail" prompt="Input the Approving Authority's DepEd Email" sqref="L34" xr:uid="{420883AB-2DA7-4F11-9EB2-345B998CD283}"/>
    <dataValidation type="textLength" operator="greaterThanOrEqual" allowBlank="1" showInputMessage="1" showErrorMessage="1" promptTitle="Approving Authority's Middlename" prompt="ALL CAPS:_x000a_ex.: PROTASIO" sqref="O33" xr:uid="{ABA8D72F-194E-40AB-B9F2-0D70AC25536E}">
      <formula1>1</formula1>
    </dataValidation>
    <dataValidation errorStyle="warning" allowBlank="1" showInputMessage="1" showErrorMessage="1" sqref="C14:C27" xr:uid="{8B51CA57-0FF4-4433-9268-F49B3E22D3C0}"/>
    <dataValidation type="textLength" operator="greaterThanOrEqual" allowBlank="1" showInputMessage="1" showErrorMessage="1" promptTitle="Approving Authority's Last Name" prompt="ALL CAPS:_x000a_ex: RIZAL" sqref="G33" xr:uid="{F38A385E-3CF6-4FEF-9A7B-7B91785F7391}">
      <formula1>1</formula1>
    </dataValidation>
    <dataValidation type="list" allowBlank="1" showInputMessage="1" showErrorMessage="1" sqref="H8:K8" xr:uid="{24F488F7-F582-4D1F-A5E4-85E06CFC2A8D}">
      <formula1>rater_position</formula1>
    </dataValidation>
    <dataValidation type="list" operator="greaterThan" allowBlank="1" showInputMessage="1" showErrorMessage="1" promptTitle="Position of Approving Authority" prompt="Select from the available drop-down options." sqref="G34:I34" xr:uid="{23BDE5D1-B1B0-494B-AB2C-FD1066E9C16C}">
      <formula1>rater_position</formula1>
    </dataValidation>
    <dataValidation type="list" allowBlank="1" showInputMessage="1" showErrorMessage="1" sqref="F14:F27" xr:uid="{799937B0-2651-44E6-B39E-8364124145FF}">
      <formula1>INDIRECT(VLOOKUP(selected_career_stage,competency_level_vlookup,2,0)&amp;"_COT")</formula1>
    </dataValidation>
    <dataValidation allowBlank="1" showInputMessage="1" showErrorMessage="1" sqref="I14 I15 I16 I17 I18 I19 I20 I22 I23" xr:uid="{E79A8F05-B3CE-4D6C-85B1-B4AD81A1496C}"/>
    <dataValidation type="list" allowBlank="1" showInputMessage="1" showErrorMessage="1" errorTitle="Invalid" error="Entry should be a whole number from 1-5 only." promptTitle="IPCRF Numerical Rating" prompt="Enter rating from 1-5." sqref="J14:L27 I21 I24:I27" xr:uid="{CFF1AD65-C86A-44DC-B755-93C1288F0AAC}">
      <formula1>"5,4,3,2,1"</formula1>
    </dataValidation>
  </dataValidations>
  <pageMargins left="0.7" right="0.7" top="0.75" bottom="0.75" header="0.3" footer="0.3"/>
  <pageSetup scale="49" orientation="landscape" verticalDpi="300"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7649" r:id="rId5" name="finalizeP1">
              <controlPr defaultSize="0" print="0" autoFill="0" autoPict="0" macro="[0]!nextPage">
                <anchor moveWithCells="1" sizeWithCells="1">
                  <from>
                    <xdr:col>8</xdr:col>
                    <xdr:colOff>518160</xdr:colOff>
                    <xdr:row>34</xdr:row>
                    <xdr:rowOff>1562100</xdr:rowOff>
                  </from>
                  <to>
                    <xdr:col>10</xdr:col>
                    <xdr:colOff>609600</xdr:colOff>
                    <xdr:row>34</xdr:row>
                    <xdr:rowOff>2385060</xdr:rowOff>
                  </to>
                </anchor>
              </controlPr>
            </control>
          </mc:Choice>
        </mc:AlternateContent>
        <mc:AlternateContent xmlns:mc="http://schemas.openxmlformats.org/markup-compatibility/2006">
          <mc:Choice Requires="x14">
            <control shapeId="27650" r:id="rId6" name="Group Box 2">
              <controlPr defaultSize="0" autoFill="0" autoPict="0">
                <anchor moveWithCells="1">
                  <from>
                    <xdr:col>0</xdr:col>
                    <xdr:colOff>914400</xdr:colOff>
                    <xdr:row>35</xdr:row>
                    <xdr:rowOff>0</xdr:rowOff>
                  </from>
                  <to>
                    <xdr:col>7</xdr:col>
                    <xdr:colOff>312420</xdr:colOff>
                    <xdr:row>45</xdr:row>
                    <xdr:rowOff>22860</xdr:rowOff>
                  </to>
                </anchor>
              </controlPr>
            </control>
          </mc:Choice>
        </mc:AlternateContent>
        <mc:AlternateContent xmlns:mc="http://schemas.openxmlformats.org/markup-compatibility/2006">
          <mc:Choice Requires="x14">
            <control shapeId="27651" r:id="rId7" name="Group Box 3">
              <controlPr defaultSize="0" autoFill="0" autoPict="0">
                <anchor moveWithCells="1">
                  <from>
                    <xdr:col>0</xdr:col>
                    <xdr:colOff>914400</xdr:colOff>
                    <xdr:row>35</xdr:row>
                    <xdr:rowOff>0</xdr:rowOff>
                  </from>
                  <to>
                    <xdr:col>7</xdr:col>
                    <xdr:colOff>312420</xdr:colOff>
                    <xdr:row>50</xdr:row>
                    <xdr:rowOff>152400</xdr:rowOff>
                  </to>
                </anchor>
              </controlPr>
            </control>
          </mc:Choice>
        </mc:AlternateContent>
        <mc:AlternateContent xmlns:mc="http://schemas.openxmlformats.org/markup-compatibility/2006">
          <mc:Choice Requires="x14">
            <control shapeId="27652" r:id="rId8" name="Group Box 4">
              <controlPr defaultSize="0" autoFill="0" autoPict="0">
                <anchor moveWithCells="1">
                  <from>
                    <xdr:col>7</xdr:col>
                    <xdr:colOff>0</xdr:colOff>
                    <xdr:row>35</xdr:row>
                    <xdr:rowOff>0</xdr:rowOff>
                  </from>
                  <to>
                    <xdr:col>13</xdr:col>
                    <xdr:colOff>335280</xdr:colOff>
                    <xdr:row>46</xdr:row>
                    <xdr:rowOff>68580</xdr:rowOff>
                  </to>
                </anchor>
              </controlPr>
            </control>
          </mc:Choice>
        </mc:AlternateContent>
        <mc:AlternateContent xmlns:mc="http://schemas.openxmlformats.org/markup-compatibility/2006">
          <mc:Choice Requires="x14">
            <control shapeId="27653" r:id="rId9" name="Group Box 5">
              <controlPr defaultSize="0" autoFill="0" autoPict="0">
                <anchor moveWithCells="1">
                  <from>
                    <xdr:col>7</xdr:col>
                    <xdr:colOff>0</xdr:colOff>
                    <xdr:row>35</xdr:row>
                    <xdr:rowOff>0</xdr:rowOff>
                  </from>
                  <to>
                    <xdr:col>13</xdr:col>
                    <xdr:colOff>358140</xdr:colOff>
                    <xdr:row>50</xdr:row>
                    <xdr:rowOff>167640</xdr:rowOff>
                  </to>
                </anchor>
              </controlPr>
            </control>
          </mc:Choice>
        </mc:AlternateContent>
        <mc:AlternateContent xmlns:mc="http://schemas.openxmlformats.org/markup-compatibility/2006">
          <mc:Choice Requires="x14">
            <control shapeId="27654" r:id="rId10" name="Group Box 6">
              <controlPr defaultSize="0" autoFill="0" autoPict="0">
                <anchor moveWithCells="1">
                  <from>
                    <xdr:col>7</xdr:col>
                    <xdr:colOff>0</xdr:colOff>
                    <xdr:row>35</xdr:row>
                    <xdr:rowOff>0</xdr:rowOff>
                  </from>
                  <to>
                    <xdr:col>13</xdr:col>
                    <xdr:colOff>381000</xdr:colOff>
                    <xdr:row>53</xdr:row>
                    <xdr:rowOff>91440</xdr:rowOff>
                  </to>
                </anchor>
              </controlPr>
            </control>
          </mc:Choice>
        </mc:AlternateContent>
        <mc:AlternateContent xmlns:mc="http://schemas.openxmlformats.org/markup-compatibility/2006">
          <mc:Choice Requires="x14">
            <control shapeId="27655" r:id="rId11" name="Group Box 7">
              <controlPr defaultSize="0" autoFill="0" autoPict="0">
                <anchor moveWithCells="1">
                  <from>
                    <xdr:col>0</xdr:col>
                    <xdr:colOff>914400</xdr:colOff>
                    <xdr:row>35</xdr:row>
                    <xdr:rowOff>0</xdr:rowOff>
                  </from>
                  <to>
                    <xdr:col>7</xdr:col>
                    <xdr:colOff>358140</xdr:colOff>
                    <xdr:row>53</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98A3D-79C8-452A-A8C6-DABF142FEB45}">
  <sheetPr codeName="PART1">
    <pageSetUpPr fitToPage="1"/>
  </sheetPr>
  <dimension ref="A1:Q87"/>
  <sheetViews>
    <sheetView showGridLines="0" zoomScale="80" zoomScaleNormal="80" zoomScaleSheetLayoutView="100" workbookViewId="0">
      <selection activeCell="C2" sqref="C2:H2"/>
    </sheetView>
  </sheetViews>
  <sheetFormatPr defaultColWidth="9.6640625" defaultRowHeight="14.4"/>
  <cols>
    <col min="1" max="1" width="15.21875" style="14" customWidth="1"/>
    <col min="2" max="2" width="14.6640625" style="14" customWidth="1"/>
    <col min="3" max="3" width="8.21875" style="14" customWidth="1"/>
    <col min="4" max="4" width="8.6640625" style="14" customWidth="1"/>
    <col min="5" max="5" width="11.21875" style="14" customWidth="1"/>
    <col min="6" max="11" width="17.21875" style="14" customWidth="1"/>
    <col min="12" max="15" width="5.33203125" style="14" customWidth="1"/>
    <col min="16" max="16" width="7.21875" style="14" customWidth="1"/>
    <col min="17" max="16384" width="9.6640625" style="14"/>
  </cols>
  <sheetData>
    <row r="1" spans="1:17" ht="24" customHeight="1" thickBot="1">
      <c r="A1" s="714" t="s">
        <v>1013</v>
      </c>
      <c r="B1" s="715"/>
      <c r="C1" s="715"/>
      <c r="D1" s="715"/>
      <c r="E1" s="715"/>
      <c r="F1" s="715"/>
      <c r="G1" s="715"/>
      <c r="H1" s="715"/>
      <c r="I1" s="715"/>
      <c r="J1" s="715"/>
      <c r="K1" s="715"/>
      <c r="L1" s="715"/>
      <c r="M1" s="715"/>
      <c r="N1" s="715"/>
      <c r="O1" s="715"/>
      <c r="P1" s="716"/>
      <c r="Q1" s="220" t="s">
        <v>817</v>
      </c>
    </row>
    <row r="2" spans="1:17" ht="24" customHeight="1">
      <c r="A2" s="718" t="s">
        <v>128</v>
      </c>
      <c r="B2" s="719"/>
      <c r="C2" s="717" t="str">
        <f>'Encoding Part 1'!C7</f>
        <v>EJONIE G. DEGOLLACION</v>
      </c>
      <c r="D2" s="717"/>
      <c r="E2" s="717"/>
      <c r="F2" s="717"/>
      <c r="G2" s="717"/>
      <c r="H2" s="717"/>
      <c r="I2" s="221" t="s">
        <v>129</v>
      </c>
      <c r="J2" s="781" t="str">
        <f>'Encoding Part 1'!B33</f>
        <v>GLORIFEL B. SAREÑO</v>
      </c>
      <c r="K2" s="782"/>
      <c r="L2" s="782"/>
      <c r="M2" s="782"/>
      <c r="N2" s="782"/>
      <c r="O2" s="782"/>
      <c r="P2" s="783"/>
    </row>
    <row r="3" spans="1:17" ht="24" customHeight="1">
      <c r="A3" s="720" t="s">
        <v>0</v>
      </c>
      <c r="B3" s="721"/>
      <c r="C3" s="709" t="str">
        <f>'Encoding Part 1'!C8</f>
        <v>Teacher III</v>
      </c>
      <c r="D3" s="709"/>
      <c r="E3" s="709"/>
      <c r="F3" s="709"/>
      <c r="G3" s="709"/>
      <c r="H3" s="709"/>
      <c r="I3" s="222" t="s">
        <v>0</v>
      </c>
      <c r="J3" s="784" t="str">
        <f>'Encoding Part 1'!H8</f>
        <v>Master Teacher I</v>
      </c>
      <c r="K3" s="785"/>
      <c r="L3" s="785"/>
      <c r="M3" s="785"/>
      <c r="N3" s="785"/>
      <c r="O3" s="785"/>
      <c r="P3" s="786"/>
    </row>
    <row r="4" spans="1:17" ht="24" customHeight="1">
      <c r="A4" s="720" t="s">
        <v>1018</v>
      </c>
      <c r="B4" s="721"/>
      <c r="C4" s="709" t="str">
        <f>'Encoding Part 1'!C9</f>
        <v xml:space="preserve">Lapu-Lapu City </v>
      </c>
      <c r="D4" s="709"/>
      <c r="E4" s="709"/>
      <c r="F4" s="709"/>
      <c r="G4" s="709"/>
      <c r="H4" s="709"/>
      <c r="I4" s="222" t="s">
        <v>1</v>
      </c>
      <c r="J4" s="787">
        <f>'Encoding Part 1'!H9</f>
        <v>46112</v>
      </c>
      <c r="K4" s="788"/>
      <c r="L4" s="788"/>
      <c r="M4" s="788"/>
      <c r="N4" s="788"/>
      <c r="O4" s="788"/>
      <c r="P4" s="789"/>
    </row>
    <row r="5" spans="1:17" ht="24" customHeight="1" thickBot="1">
      <c r="A5" s="722" t="s">
        <v>130</v>
      </c>
      <c r="B5" s="723"/>
      <c r="C5" s="710" t="str">
        <f>'Encoding Part 1'!C10</f>
        <v>SY 2025-2026</v>
      </c>
      <c r="D5" s="711"/>
      <c r="E5" s="711"/>
      <c r="F5" s="711"/>
      <c r="G5" s="711"/>
      <c r="H5" s="711"/>
      <c r="I5" s="712"/>
      <c r="J5" s="712"/>
      <c r="K5" s="712"/>
      <c r="L5" s="712"/>
      <c r="M5" s="712"/>
      <c r="N5" s="712"/>
      <c r="O5" s="712"/>
      <c r="P5" s="713"/>
    </row>
    <row r="6" spans="1:17" ht="10.050000000000001" customHeight="1">
      <c r="A6" s="223"/>
      <c r="B6" s="223"/>
      <c r="C6" s="223"/>
      <c r="D6" s="223"/>
      <c r="E6" s="223"/>
      <c r="F6" s="223"/>
      <c r="G6" s="223"/>
      <c r="H6" s="223"/>
      <c r="I6" s="224"/>
      <c r="J6" s="224"/>
      <c r="K6" s="224"/>
      <c r="L6" s="224"/>
      <c r="M6" s="224"/>
      <c r="N6" s="224"/>
      <c r="O6" s="224"/>
      <c r="P6" s="224"/>
    </row>
    <row r="7" spans="1:17" ht="10.050000000000001" customHeight="1" thickBot="1">
      <c r="A7" s="225"/>
      <c r="B7" s="225"/>
      <c r="C7" s="225"/>
      <c r="D7" s="225"/>
      <c r="E7" s="225"/>
      <c r="F7" s="225"/>
      <c r="G7" s="225"/>
      <c r="H7" s="225"/>
      <c r="I7" s="225"/>
      <c r="J7" s="225"/>
      <c r="K7" s="225"/>
      <c r="L7" s="225"/>
      <c r="M7" s="225"/>
      <c r="N7" s="225"/>
      <c r="O7" s="225"/>
      <c r="P7" s="225"/>
    </row>
    <row r="8" spans="1:17" ht="19.5" customHeight="1" thickBot="1">
      <c r="A8" s="740"/>
      <c r="B8" s="741"/>
      <c r="C8" s="741"/>
      <c r="D8" s="741"/>
      <c r="E8" s="741"/>
      <c r="F8" s="741"/>
      <c r="G8" s="741"/>
      <c r="H8" s="741"/>
      <c r="I8" s="741"/>
      <c r="J8" s="742"/>
      <c r="K8" s="740" t="s">
        <v>1031</v>
      </c>
      <c r="L8" s="741"/>
      <c r="M8" s="741"/>
      <c r="N8" s="741"/>
      <c r="O8" s="741"/>
      <c r="P8" s="742"/>
    </row>
    <row r="9" spans="1:17" ht="15" thickBot="1">
      <c r="A9" s="724" t="s">
        <v>1032</v>
      </c>
      <c r="B9" s="724" t="s">
        <v>3</v>
      </c>
      <c r="C9" s="724" t="s">
        <v>4</v>
      </c>
      <c r="D9" s="724" t="s">
        <v>1033</v>
      </c>
      <c r="E9" s="743" t="s">
        <v>1034</v>
      </c>
      <c r="F9" s="743"/>
      <c r="G9" s="743"/>
      <c r="H9" s="743"/>
      <c r="I9" s="743"/>
      <c r="J9" s="743"/>
      <c r="K9" s="724" t="s">
        <v>1035</v>
      </c>
      <c r="L9" s="744" t="s">
        <v>5</v>
      </c>
      <c r="M9" s="744"/>
      <c r="N9" s="744"/>
      <c r="O9" s="745"/>
      <c r="P9" s="724" t="s">
        <v>135</v>
      </c>
      <c r="Q9" s="226"/>
    </row>
    <row r="10" spans="1:17" ht="26.25" customHeight="1" thickBot="1">
      <c r="A10" s="725"/>
      <c r="B10" s="725"/>
      <c r="C10" s="725"/>
      <c r="D10" s="725"/>
      <c r="E10" s="724" t="s">
        <v>1036</v>
      </c>
      <c r="F10" s="227" t="s">
        <v>87</v>
      </c>
      <c r="G10" s="227" t="s">
        <v>85</v>
      </c>
      <c r="H10" s="227" t="s">
        <v>83</v>
      </c>
      <c r="I10" s="227" t="s">
        <v>81</v>
      </c>
      <c r="J10" s="227" t="s">
        <v>79</v>
      </c>
      <c r="K10" s="725"/>
      <c r="L10" s="746"/>
      <c r="M10" s="746"/>
      <c r="N10" s="746"/>
      <c r="O10" s="747"/>
      <c r="P10" s="725"/>
      <c r="Q10" s="226"/>
    </row>
    <row r="11" spans="1:17" ht="15" thickBot="1">
      <c r="A11" s="726"/>
      <c r="B11" s="726"/>
      <c r="C11" s="726"/>
      <c r="D11" s="726"/>
      <c r="E11" s="726"/>
      <c r="F11" s="229">
        <v>5</v>
      </c>
      <c r="G11" s="229">
        <v>4</v>
      </c>
      <c r="H11" s="229">
        <v>3</v>
      </c>
      <c r="I11" s="229">
        <v>2</v>
      </c>
      <c r="J11" s="229">
        <v>1</v>
      </c>
      <c r="K11" s="726"/>
      <c r="L11" s="228" t="s">
        <v>137</v>
      </c>
      <c r="M11" s="228" t="s">
        <v>138</v>
      </c>
      <c r="N11" s="228" t="s">
        <v>139</v>
      </c>
      <c r="O11" s="228" t="s">
        <v>140</v>
      </c>
      <c r="P11" s="726"/>
      <c r="Q11" s="226"/>
    </row>
    <row r="12" spans="1:17" ht="81.45" customHeight="1">
      <c r="A12" s="754" t="s">
        <v>12</v>
      </c>
      <c r="B12" s="727" t="s">
        <v>13</v>
      </c>
      <c r="C12" s="730" t="s">
        <v>11</v>
      </c>
      <c r="D12" s="733">
        <v>6.7857142859999997E-2</v>
      </c>
      <c r="E12" s="230" t="s">
        <v>6</v>
      </c>
      <c r="F12" s="231" t="s">
        <v>1047</v>
      </c>
      <c r="G12" s="231" t="s">
        <v>1048</v>
      </c>
      <c r="H12" s="231" t="s">
        <v>1049</v>
      </c>
      <c r="I12" s="231" t="s">
        <v>1050</v>
      </c>
      <c r="J12" s="231" t="s">
        <v>1051</v>
      </c>
      <c r="K12" s="232" t="str" cm="1">
        <f t="array" aca="1" ref="K12" ca="1">IFERROR(INDEX(F12:J12,6-L12),"")</f>
        <v>Demonstrated Level 6 in the PPST Indicator as shown in the COT rating sheet / interobserver agreement form presented</v>
      </c>
      <c r="L12" s="734">
        <f ca="1">'Encoding Part 1'!I14</f>
        <v>5</v>
      </c>
      <c r="M12" s="737">
        <f>'Encoding Part 1'!K14</f>
        <v>0</v>
      </c>
      <c r="N12" s="737">
        <f>'Encoding Part 1'!L14</f>
        <v>0</v>
      </c>
      <c r="O12" s="748">
        <f ca="1">'Encoding Part 1'!M14</f>
        <v>5</v>
      </c>
      <c r="P12" s="751">
        <f ca="1">'Encoding Part 1'!N14</f>
        <v>0.33928999999999998</v>
      </c>
      <c r="Q12" s="226"/>
    </row>
    <row r="13" spans="1:17">
      <c r="A13" s="754"/>
      <c r="B13" s="728"/>
      <c r="C13" s="731"/>
      <c r="D13" s="731"/>
      <c r="E13" s="233" t="s">
        <v>7</v>
      </c>
      <c r="F13" s="234"/>
      <c r="G13" s="235"/>
      <c r="H13" s="235"/>
      <c r="I13" s="235"/>
      <c r="J13" s="235"/>
      <c r="K13" s="236" t="str" cm="1">
        <f t="array" ref="K13">IFERROR(INDEX(F13:J13,6-M12),"")</f>
        <v/>
      </c>
      <c r="L13" s="735"/>
      <c r="M13" s="738"/>
      <c r="N13" s="738"/>
      <c r="O13" s="749"/>
      <c r="P13" s="752"/>
      <c r="Q13" s="226"/>
    </row>
    <row r="14" spans="1:17" ht="15" thickBot="1">
      <c r="A14" s="754"/>
      <c r="B14" s="729"/>
      <c r="C14" s="732"/>
      <c r="D14" s="732"/>
      <c r="E14" s="237" t="s">
        <v>2</v>
      </c>
      <c r="F14" s="238"/>
      <c r="G14" s="239"/>
      <c r="H14" s="239"/>
      <c r="I14" s="239"/>
      <c r="J14" s="239"/>
      <c r="K14" s="240" t="str" cm="1">
        <f t="array" ref="K14">IFERROR(INDEX(F14:J14,6-N12),"")</f>
        <v/>
      </c>
      <c r="L14" s="736"/>
      <c r="M14" s="739"/>
      <c r="N14" s="739"/>
      <c r="O14" s="750"/>
      <c r="P14" s="753"/>
      <c r="Q14" s="226"/>
    </row>
    <row r="15" spans="1:17" ht="108" customHeight="1">
      <c r="A15" s="754"/>
      <c r="B15" s="756" t="s">
        <v>14</v>
      </c>
      <c r="C15" s="730" t="s">
        <v>11</v>
      </c>
      <c r="D15" s="733">
        <v>6.7857142859999997E-2</v>
      </c>
      <c r="E15" s="230" t="s">
        <v>6</v>
      </c>
      <c r="F15" s="231" t="s">
        <v>1047</v>
      </c>
      <c r="G15" s="231" t="s">
        <v>1048</v>
      </c>
      <c r="H15" s="231" t="s">
        <v>1049</v>
      </c>
      <c r="I15" s="231" t="s">
        <v>1050</v>
      </c>
      <c r="J15" s="231" t="s">
        <v>1051</v>
      </c>
      <c r="K15" s="232" t="str" cm="1">
        <f t="array" aca="1" ref="K15" ca="1">IFERROR(INDEX(F15:J15,6-L15),"")</f>
        <v>Demonstrated Level 6 in the PPST Indicator as shown in the COT rating sheet / interobserver agreement form presented</v>
      </c>
      <c r="L15" s="734">
        <f ca="1">'Encoding Part 1'!I15</f>
        <v>5</v>
      </c>
      <c r="M15" s="737">
        <f>'Encoding Part 1'!K15</f>
        <v>0</v>
      </c>
      <c r="N15" s="737">
        <f>'Encoding Part 1'!L15</f>
        <v>0</v>
      </c>
      <c r="O15" s="748">
        <f ca="1">'Encoding Part 1'!M15</f>
        <v>5</v>
      </c>
      <c r="P15" s="751">
        <f ca="1">'Encoding Part 1'!N15</f>
        <v>0.33928999999999998</v>
      </c>
      <c r="Q15" s="226"/>
    </row>
    <row r="16" spans="1:17">
      <c r="A16" s="754"/>
      <c r="B16" s="757"/>
      <c r="C16" s="731"/>
      <c r="D16" s="731"/>
      <c r="E16" s="233" t="s">
        <v>7</v>
      </c>
      <c r="F16" s="234"/>
      <c r="G16" s="235"/>
      <c r="H16" s="235"/>
      <c r="I16" s="235"/>
      <c r="J16" s="235"/>
      <c r="K16" s="236" t="str" cm="1">
        <f t="array" ref="K16">IFERROR(INDEX(F16:J16,6-M15),"")</f>
        <v/>
      </c>
      <c r="L16" s="735"/>
      <c r="M16" s="738"/>
      <c r="N16" s="738"/>
      <c r="O16" s="749"/>
      <c r="P16" s="752"/>
      <c r="Q16" s="226"/>
    </row>
    <row r="17" spans="1:17" ht="15" thickBot="1">
      <c r="A17" s="754"/>
      <c r="B17" s="758"/>
      <c r="C17" s="732"/>
      <c r="D17" s="732"/>
      <c r="E17" s="237" t="s">
        <v>2</v>
      </c>
      <c r="F17" s="238"/>
      <c r="G17" s="239"/>
      <c r="H17" s="239"/>
      <c r="I17" s="239"/>
      <c r="J17" s="239"/>
      <c r="K17" s="239" t="str" cm="1">
        <f t="array" ref="K17">IFERROR(INDEX(F17:J17,6-N15),"")</f>
        <v/>
      </c>
      <c r="L17" s="736"/>
      <c r="M17" s="739"/>
      <c r="N17" s="739"/>
      <c r="O17" s="750"/>
      <c r="P17" s="753"/>
      <c r="Q17" s="226"/>
    </row>
    <row r="18" spans="1:17" ht="102.45" customHeight="1">
      <c r="A18" s="754"/>
      <c r="B18" s="727" t="s">
        <v>15</v>
      </c>
      <c r="C18" s="730" t="s">
        <v>11</v>
      </c>
      <c r="D18" s="733">
        <v>6.7857142859999997E-2</v>
      </c>
      <c r="E18" s="230" t="s">
        <v>6</v>
      </c>
      <c r="F18" s="231" t="s">
        <v>1047</v>
      </c>
      <c r="G18" s="231" t="s">
        <v>1048</v>
      </c>
      <c r="H18" s="231" t="s">
        <v>1049</v>
      </c>
      <c r="I18" s="231" t="s">
        <v>1050</v>
      </c>
      <c r="J18" s="231" t="s">
        <v>1051</v>
      </c>
      <c r="K18" s="232" t="str" cm="1">
        <f t="array" aca="1" ref="K18" ca="1">IFERROR(INDEX(F18:J18,6-L18),"")</f>
        <v>Demonstrated Level 6 in the PPST Indicator as shown in the COT rating sheet / interobserver agreement form presented</v>
      </c>
      <c r="L18" s="734">
        <f ca="1">'Encoding Part 1'!I16</f>
        <v>5</v>
      </c>
      <c r="M18" s="737">
        <f>'Encoding Part 1'!K16</f>
        <v>0</v>
      </c>
      <c r="N18" s="737">
        <f>'Encoding Part 1'!L16</f>
        <v>0</v>
      </c>
      <c r="O18" s="748">
        <f ca="1">'Encoding Part 1'!M16</f>
        <v>5</v>
      </c>
      <c r="P18" s="751">
        <f ca="1">'Encoding Part 1'!N16</f>
        <v>0.33928999999999998</v>
      </c>
      <c r="Q18" s="226"/>
    </row>
    <row r="19" spans="1:17" ht="15.45" customHeight="1">
      <c r="A19" s="754"/>
      <c r="B19" s="728"/>
      <c r="C19" s="731"/>
      <c r="D19" s="731"/>
      <c r="E19" s="233" t="s">
        <v>7</v>
      </c>
      <c r="F19" s="234"/>
      <c r="G19" s="235"/>
      <c r="H19" s="235"/>
      <c r="I19" s="235"/>
      <c r="J19" s="235"/>
      <c r="K19" s="236" t="str" cm="1">
        <f t="array" ref="K19">IFERROR(INDEX(F19:J19,6-M18),"")</f>
        <v/>
      </c>
      <c r="L19" s="735"/>
      <c r="M19" s="738"/>
      <c r="N19" s="738"/>
      <c r="O19" s="749"/>
      <c r="P19" s="752"/>
      <c r="Q19" s="226"/>
    </row>
    <row r="20" spans="1:17" ht="15.45" customHeight="1" thickBot="1">
      <c r="A20" s="755"/>
      <c r="B20" s="729"/>
      <c r="C20" s="732"/>
      <c r="D20" s="732"/>
      <c r="E20" s="237" t="s">
        <v>2</v>
      </c>
      <c r="F20" s="238"/>
      <c r="G20" s="239"/>
      <c r="H20" s="239"/>
      <c r="I20" s="239"/>
      <c r="J20" s="239"/>
      <c r="K20" s="239" t="str" cm="1">
        <f t="array" ref="K20">IFERROR(INDEX(F20:J20,6-N18),"")</f>
        <v/>
      </c>
      <c r="L20" s="736"/>
      <c r="M20" s="739"/>
      <c r="N20" s="739"/>
      <c r="O20" s="750"/>
      <c r="P20" s="753"/>
      <c r="Q20" s="226"/>
    </row>
    <row r="21" spans="1:17" ht="103.95" customHeight="1">
      <c r="A21" s="759" t="s">
        <v>16</v>
      </c>
      <c r="B21" s="756" t="s">
        <v>17</v>
      </c>
      <c r="C21" s="730" t="s">
        <v>11</v>
      </c>
      <c r="D21" s="733">
        <v>6.7857142859999997E-2</v>
      </c>
      <c r="E21" s="230" t="s">
        <v>6</v>
      </c>
      <c r="F21" s="231" t="s">
        <v>1047</v>
      </c>
      <c r="G21" s="231" t="s">
        <v>1048</v>
      </c>
      <c r="H21" s="231" t="s">
        <v>1049</v>
      </c>
      <c r="I21" s="231" t="s">
        <v>1050</v>
      </c>
      <c r="J21" s="231" t="s">
        <v>1051</v>
      </c>
      <c r="K21" s="232" t="str" cm="1">
        <f t="array" aca="1" ref="K21" ca="1">IFERROR(INDEX(F21:J21,6-L21),"")</f>
        <v>Demonstrated Level 6 in the PPST Indicator as shown in the COT rating sheet / interobserver agreement form presented</v>
      </c>
      <c r="L21" s="734">
        <f ca="1">'Encoding Part 1'!I17</f>
        <v>5</v>
      </c>
      <c r="M21" s="737">
        <f>'Encoding Part 1'!K17</f>
        <v>0</v>
      </c>
      <c r="N21" s="737">
        <f>'Encoding Part 1'!L17</f>
        <v>0</v>
      </c>
      <c r="O21" s="748">
        <f ca="1">'Encoding Part 1'!M17</f>
        <v>5</v>
      </c>
      <c r="P21" s="751">
        <f ca="1">'Encoding Part 1'!N17</f>
        <v>0.33928999999999998</v>
      </c>
      <c r="Q21" s="226"/>
    </row>
    <row r="22" spans="1:17">
      <c r="A22" s="754"/>
      <c r="B22" s="757"/>
      <c r="C22" s="731"/>
      <c r="D22" s="731"/>
      <c r="E22" s="233" t="s">
        <v>7</v>
      </c>
      <c r="F22" s="234"/>
      <c r="G22" s="235"/>
      <c r="H22" s="235"/>
      <c r="I22" s="235"/>
      <c r="J22" s="235"/>
      <c r="K22" s="236" t="str" cm="1">
        <f t="array" ref="K22">IFERROR(INDEX(F22:J22,6-M21),"")</f>
        <v/>
      </c>
      <c r="L22" s="735"/>
      <c r="M22" s="738"/>
      <c r="N22" s="738"/>
      <c r="O22" s="749"/>
      <c r="P22" s="752"/>
      <c r="Q22" s="226"/>
    </row>
    <row r="23" spans="1:17" ht="15" thickBot="1">
      <c r="A23" s="754"/>
      <c r="B23" s="758"/>
      <c r="C23" s="732"/>
      <c r="D23" s="732"/>
      <c r="E23" s="237" t="s">
        <v>2</v>
      </c>
      <c r="F23" s="241"/>
      <c r="G23" s="239"/>
      <c r="H23" s="239"/>
      <c r="I23" s="239"/>
      <c r="J23" s="239"/>
      <c r="K23" s="239" t="str" cm="1">
        <f t="array" ref="K23">IFERROR(INDEX(F23:J23,6-N21),"")</f>
        <v/>
      </c>
      <c r="L23" s="736"/>
      <c r="M23" s="739"/>
      <c r="N23" s="739"/>
      <c r="O23" s="750"/>
      <c r="P23" s="753"/>
      <c r="Q23" s="226"/>
    </row>
    <row r="24" spans="1:17" ht="106.05" customHeight="1">
      <c r="A24" s="754"/>
      <c r="B24" s="727" t="s">
        <v>18</v>
      </c>
      <c r="C24" s="730" t="s">
        <v>11</v>
      </c>
      <c r="D24" s="733">
        <v>6.7857142859999997E-2</v>
      </c>
      <c r="E24" s="230" t="s">
        <v>6</v>
      </c>
      <c r="F24" s="231" t="s">
        <v>1047</v>
      </c>
      <c r="G24" s="231" t="s">
        <v>1048</v>
      </c>
      <c r="H24" s="231" t="s">
        <v>1049</v>
      </c>
      <c r="I24" s="231" t="s">
        <v>1050</v>
      </c>
      <c r="J24" s="231" t="s">
        <v>1051</v>
      </c>
      <c r="K24" s="232" t="str" cm="1">
        <f t="array" aca="1" ref="K24" ca="1">IFERROR(INDEX(F24:J24,6-L24),"")</f>
        <v>Demonstrated Level 6 in the PPST Indicator as shown in the COT rating sheet / interobserver agreement form presented</v>
      </c>
      <c r="L24" s="734">
        <f ca="1">'Encoding Part 1'!I18</f>
        <v>5</v>
      </c>
      <c r="M24" s="737">
        <f>'Encoding Part 1'!K18</f>
        <v>0</v>
      </c>
      <c r="N24" s="737">
        <f>'Encoding Part 1'!L18</f>
        <v>0</v>
      </c>
      <c r="O24" s="748">
        <f ca="1">'Encoding Part 1'!M18</f>
        <v>5</v>
      </c>
      <c r="P24" s="751">
        <f ca="1">'Encoding Part 1'!N18</f>
        <v>0.33928999999999998</v>
      </c>
      <c r="Q24" s="226"/>
    </row>
    <row r="25" spans="1:17">
      <c r="A25" s="754"/>
      <c r="B25" s="728"/>
      <c r="C25" s="731"/>
      <c r="D25" s="731"/>
      <c r="E25" s="233" t="s">
        <v>7</v>
      </c>
      <c r="F25" s="234"/>
      <c r="G25" s="235"/>
      <c r="H25" s="235"/>
      <c r="I25" s="235"/>
      <c r="J25" s="235"/>
      <c r="K25" s="236" t="str" cm="1">
        <f t="array" ref="K25">IFERROR(INDEX(F25:J25,6-M24),"")</f>
        <v/>
      </c>
      <c r="L25" s="735"/>
      <c r="M25" s="738"/>
      <c r="N25" s="738"/>
      <c r="O25" s="749"/>
      <c r="P25" s="752"/>
      <c r="Q25" s="226"/>
    </row>
    <row r="26" spans="1:17" ht="15" thickBot="1">
      <c r="A26" s="755"/>
      <c r="B26" s="729"/>
      <c r="C26" s="732"/>
      <c r="D26" s="732"/>
      <c r="E26" s="237" t="s">
        <v>2</v>
      </c>
      <c r="F26" s="238"/>
      <c r="G26" s="239"/>
      <c r="H26" s="239"/>
      <c r="I26" s="239"/>
      <c r="J26" s="239"/>
      <c r="K26" s="239" t="str" cm="1">
        <f t="array" ref="K26">IFERROR(INDEX(F26:J26,6-N24),"")</f>
        <v/>
      </c>
      <c r="L26" s="736"/>
      <c r="M26" s="739"/>
      <c r="N26" s="739"/>
      <c r="O26" s="750"/>
      <c r="P26" s="753"/>
      <c r="Q26" s="226"/>
    </row>
    <row r="27" spans="1:17" ht="109.05" customHeight="1">
      <c r="A27" s="759" t="s">
        <v>19</v>
      </c>
      <c r="B27" s="756" t="s">
        <v>20</v>
      </c>
      <c r="C27" s="730" t="s">
        <v>11</v>
      </c>
      <c r="D27" s="733">
        <v>6.7857142859999997E-2</v>
      </c>
      <c r="E27" s="230" t="s">
        <v>6</v>
      </c>
      <c r="F27" s="231" t="s">
        <v>1047</v>
      </c>
      <c r="G27" s="231" t="s">
        <v>1048</v>
      </c>
      <c r="H27" s="231" t="s">
        <v>1049</v>
      </c>
      <c r="I27" s="231" t="s">
        <v>1050</v>
      </c>
      <c r="J27" s="231" t="s">
        <v>1051</v>
      </c>
      <c r="K27" s="232" t="str" cm="1">
        <f t="array" aca="1" ref="K27" ca="1">IFERROR(INDEX(F27:J27,6-L27),"")</f>
        <v>Demonstrated Level 5 in the PPST Indicator as shown in COT rating sheet / inter-observer agreement form presented</v>
      </c>
      <c r="L27" s="734">
        <f ca="1">'Encoding Part 1'!I19</f>
        <v>4</v>
      </c>
      <c r="M27" s="737">
        <f>'Encoding Part 1'!K19</f>
        <v>0</v>
      </c>
      <c r="N27" s="737">
        <f>'Encoding Part 1'!L19</f>
        <v>0</v>
      </c>
      <c r="O27" s="748">
        <f ca="1">'Encoding Part 1'!M19</f>
        <v>4</v>
      </c>
      <c r="P27" s="751">
        <f ca="1">'Encoding Part 1'!N19</f>
        <v>0.27143</v>
      </c>
      <c r="Q27" s="226"/>
    </row>
    <row r="28" spans="1:17" ht="15.45" customHeight="1">
      <c r="A28" s="754"/>
      <c r="B28" s="757"/>
      <c r="C28" s="731"/>
      <c r="D28" s="731"/>
      <c r="E28" s="233" t="s">
        <v>7</v>
      </c>
      <c r="F28" s="234"/>
      <c r="G28" s="235"/>
      <c r="H28" s="235"/>
      <c r="I28" s="235"/>
      <c r="J28" s="235"/>
      <c r="K28" s="236" t="str" cm="1">
        <f t="array" ref="K28">IFERROR(INDEX(F28:J28,6-M27),"")</f>
        <v/>
      </c>
      <c r="L28" s="735"/>
      <c r="M28" s="738"/>
      <c r="N28" s="738"/>
      <c r="O28" s="749"/>
      <c r="P28" s="752"/>
      <c r="Q28" s="226"/>
    </row>
    <row r="29" spans="1:17" ht="15.45" customHeight="1" thickBot="1">
      <c r="A29" s="755"/>
      <c r="B29" s="758"/>
      <c r="C29" s="732"/>
      <c r="D29" s="732"/>
      <c r="E29" s="237" t="s">
        <v>2</v>
      </c>
      <c r="F29" s="238"/>
      <c r="G29" s="239"/>
      <c r="H29" s="239"/>
      <c r="I29" s="239"/>
      <c r="J29" s="239"/>
      <c r="K29" s="239" t="str" cm="1">
        <f t="array" ref="K29">IFERROR(INDEX(F29:J29,6-N27),"")</f>
        <v/>
      </c>
      <c r="L29" s="736"/>
      <c r="M29" s="739"/>
      <c r="N29" s="739"/>
      <c r="O29" s="750"/>
      <c r="P29" s="753"/>
      <c r="Q29" s="226"/>
    </row>
    <row r="30" spans="1:17" ht="146.55000000000001" customHeight="1">
      <c r="A30" s="759" t="s">
        <v>21</v>
      </c>
      <c r="B30" s="727" t="s">
        <v>22</v>
      </c>
      <c r="C30" s="730" t="s">
        <v>11</v>
      </c>
      <c r="D30" s="733">
        <v>6.7857142859999997E-2</v>
      </c>
      <c r="E30" s="230" t="s">
        <v>6</v>
      </c>
      <c r="F30" s="231" t="s">
        <v>1047</v>
      </c>
      <c r="G30" s="231" t="s">
        <v>1048</v>
      </c>
      <c r="H30" s="231" t="s">
        <v>1049</v>
      </c>
      <c r="I30" s="231" t="s">
        <v>1050</v>
      </c>
      <c r="J30" s="231" t="s">
        <v>1051</v>
      </c>
      <c r="K30" s="232" t="str" cm="1">
        <f t="array" aca="1" ref="K30" ca="1">IFERROR(INDEX(F30:J30,6-L30),"")</f>
        <v>Demonstrated Level 6 in the PPST Indicator as shown in the COT rating sheet / interobserver agreement form presented</v>
      </c>
      <c r="L30" s="734">
        <f ca="1">'Encoding Part 1'!I20</f>
        <v>5</v>
      </c>
      <c r="M30" s="737">
        <f>'Encoding Part 1'!K20</f>
        <v>0</v>
      </c>
      <c r="N30" s="737">
        <f>'Encoding Part 1'!L20</f>
        <v>0</v>
      </c>
      <c r="O30" s="748">
        <f ca="1">'Encoding Part 1'!M20</f>
        <v>5</v>
      </c>
      <c r="P30" s="751">
        <f ca="1">'Encoding Part 1'!N20</f>
        <v>0.33928999999999998</v>
      </c>
      <c r="Q30" s="226"/>
    </row>
    <row r="31" spans="1:17" ht="15.45" customHeight="1">
      <c r="A31" s="754"/>
      <c r="B31" s="728"/>
      <c r="C31" s="731"/>
      <c r="D31" s="731"/>
      <c r="E31" s="233" t="s">
        <v>7</v>
      </c>
      <c r="F31" s="234"/>
      <c r="G31" s="235"/>
      <c r="H31" s="235"/>
      <c r="I31" s="235"/>
      <c r="J31" s="235"/>
      <c r="K31" s="236" t="str" cm="1">
        <f t="array" ref="K31">IFERROR(INDEX(F31:J31,6-M30),"")</f>
        <v/>
      </c>
      <c r="L31" s="735"/>
      <c r="M31" s="738"/>
      <c r="N31" s="738"/>
      <c r="O31" s="749"/>
      <c r="P31" s="752"/>
      <c r="Q31" s="226"/>
    </row>
    <row r="32" spans="1:17" ht="15.45" customHeight="1" thickBot="1">
      <c r="A32" s="754"/>
      <c r="B32" s="729"/>
      <c r="C32" s="732"/>
      <c r="D32" s="732"/>
      <c r="E32" s="237" t="s">
        <v>2</v>
      </c>
      <c r="F32" s="238"/>
      <c r="G32" s="239"/>
      <c r="H32" s="239"/>
      <c r="I32" s="239"/>
      <c r="J32" s="239"/>
      <c r="K32" s="239" t="str" cm="1">
        <f t="array" ref="K32">IFERROR(INDEX(F32:J32,6-N30),"")</f>
        <v/>
      </c>
      <c r="L32" s="736"/>
      <c r="M32" s="739"/>
      <c r="N32" s="739"/>
      <c r="O32" s="750"/>
      <c r="P32" s="753"/>
      <c r="Q32" s="226"/>
    </row>
    <row r="33" spans="1:17" ht="138">
      <c r="A33" s="754"/>
      <c r="B33" s="727" t="s">
        <v>23</v>
      </c>
      <c r="C33" s="730" t="s">
        <v>11</v>
      </c>
      <c r="D33" s="733">
        <v>6.7857142859999997E-2</v>
      </c>
      <c r="E33" s="230" t="s">
        <v>6</v>
      </c>
      <c r="F33" s="296" t="s">
        <v>1090</v>
      </c>
      <c r="G33" s="296" t="s">
        <v>1091</v>
      </c>
      <c r="H33" s="296" t="s">
        <v>1092</v>
      </c>
      <c r="I33" s="296" t="s">
        <v>1093</v>
      </c>
      <c r="J33" s="296" t="s">
        <v>1094</v>
      </c>
      <c r="K33" s="232" t="str" cm="1">
        <f t="array" ref="K33">IFERROR(INDEX(F33:J33,6-L33),"")</f>
        <v>Shared insights and/or suggestions on the effective use of teacher and learner feedback during LAC sessions/meeti ngs/other collegial discussions to enrich teaching practice, as evidenced by MOV 3</v>
      </c>
      <c r="L33" s="734">
        <f>'Encoding Part 1'!I21</f>
        <v>5</v>
      </c>
      <c r="M33" s="737">
        <f>'Encoding Part 1'!K21</f>
        <v>0</v>
      </c>
      <c r="N33" s="760">
        <f>'Encoding Part 1'!L21</f>
        <v>4</v>
      </c>
      <c r="O33" s="748">
        <f>'Encoding Part 1'!M21</f>
        <v>4.5</v>
      </c>
      <c r="P33" s="751">
        <f>'Encoding Part 1'!N21</f>
        <v>0.30536000000000002</v>
      </c>
      <c r="Q33" s="226"/>
    </row>
    <row r="34" spans="1:17">
      <c r="A34" s="754"/>
      <c r="B34" s="728"/>
      <c r="C34" s="731"/>
      <c r="D34" s="731"/>
      <c r="E34" s="233" t="s">
        <v>7</v>
      </c>
      <c r="F34" s="234"/>
      <c r="G34" s="235"/>
      <c r="H34" s="235"/>
      <c r="I34" s="235"/>
      <c r="J34" s="235"/>
      <c r="K34" s="236" t="str" cm="1">
        <f t="array" ref="K34">IFERROR(INDEX(F34:J34,6-M33),"")</f>
        <v/>
      </c>
      <c r="L34" s="735"/>
      <c r="M34" s="738"/>
      <c r="N34" s="761"/>
      <c r="O34" s="749"/>
      <c r="P34" s="752"/>
      <c r="Q34" s="226"/>
    </row>
    <row r="35" spans="1:17" ht="69.599999999999994" thickBot="1">
      <c r="A35" s="754"/>
      <c r="B35" s="729"/>
      <c r="C35" s="732"/>
      <c r="D35" s="732"/>
      <c r="E35" s="237" t="s">
        <v>2</v>
      </c>
      <c r="F35" s="297" t="s">
        <v>1095</v>
      </c>
      <c r="G35" s="297" t="s">
        <v>1096</v>
      </c>
      <c r="H35" s="297" t="s">
        <v>1097</v>
      </c>
      <c r="I35" s="297" t="s">
        <v>1098</v>
      </c>
      <c r="J35" s="297" t="s">
        <v>1094</v>
      </c>
      <c r="K35" s="243" t="str" cm="1">
        <f t="array" ref="K35">IFERROR(INDEX(F35:J35,6-N33),"")</f>
        <v xml:space="preserve"> Participated in collegial discussions on teacher and learner feedback across 3 quarters</v>
      </c>
      <c r="L35" s="736"/>
      <c r="M35" s="739"/>
      <c r="N35" s="762"/>
      <c r="O35" s="750"/>
      <c r="P35" s="753"/>
      <c r="Q35" s="226"/>
    </row>
    <row r="36" spans="1:17" ht="118.5" customHeight="1">
      <c r="A36" s="754"/>
      <c r="B36" s="765" t="s">
        <v>24</v>
      </c>
      <c r="C36" s="766" t="s">
        <v>11</v>
      </c>
      <c r="D36" s="767">
        <v>6.7857142859999997E-2</v>
      </c>
      <c r="E36" s="288" t="s">
        <v>6</v>
      </c>
      <c r="F36" s="463" t="s">
        <v>1047</v>
      </c>
      <c r="G36" s="463" t="s">
        <v>1048</v>
      </c>
      <c r="H36" s="463" t="s">
        <v>1049</v>
      </c>
      <c r="I36" s="463" t="s">
        <v>1050</v>
      </c>
      <c r="J36" s="463" t="s">
        <v>1051</v>
      </c>
      <c r="K36" s="289" t="str" cm="1">
        <f t="array" aca="1" ref="K36" ca="1">IFERROR(INDEX(F36:J36,6-L36),"")</f>
        <v>Demonstrated Level 6 in the PPST Indicator as shown in the COT rating sheet / interobserver agreement form presented</v>
      </c>
      <c r="L36" s="768">
        <f ca="1">'Encoding Part 1'!I22</f>
        <v>5</v>
      </c>
      <c r="M36" s="769">
        <f>'Encoding Part 1'!K22</f>
        <v>0</v>
      </c>
      <c r="N36" s="769">
        <f>'Encoding Part 1'!L22</f>
        <v>0</v>
      </c>
      <c r="O36" s="763">
        <f ca="1">'Encoding Part 1'!M22</f>
        <v>5</v>
      </c>
      <c r="P36" s="764">
        <f ca="1">'Encoding Part 1'!N22</f>
        <v>0.33928999999999998</v>
      </c>
      <c r="Q36" s="226"/>
    </row>
    <row r="37" spans="1:17">
      <c r="A37" s="754"/>
      <c r="B37" s="757"/>
      <c r="C37" s="731"/>
      <c r="D37" s="731"/>
      <c r="E37" s="233" t="s">
        <v>7</v>
      </c>
      <c r="F37" s="234"/>
      <c r="G37" s="235"/>
      <c r="H37" s="235"/>
      <c r="I37" s="235"/>
      <c r="J37" s="235"/>
      <c r="K37" s="236" t="str" cm="1">
        <f t="array" ref="K37">IFERROR(INDEX(F37:J37,6-M36),"")</f>
        <v/>
      </c>
      <c r="L37" s="735"/>
      <c r="M37" s="738"/>
      <c r="N37" s="738"/>
      <c r="O37" s="749"/>
      <c r="P37" s="752"/>
      <c r="Q37" s="226"/>
    </row>
    <row r="38" spans="1:17" ht="15" thickBot="1">
      <c r="A38" s="754"/>
      <c r="B38" s="758"/>
      <c r="C38" s="732"/>
      <c r="D38" s="732"/>
      <c r="E38" s="237" t="s">
        <v>2</v>
      </c>
      <c r="F38" s="245"/>
      <c r="G38" s="239"/>
      <c r="H38" s="239"/>
      <c r="I38" s="239"/>
      <c r="J38" s="239"/>
      <c r="K38" s="239" t="str" cm="1">
        <f t="array" ref="K38">IFERROR(INDEX(F38:J38,6-N36),"")</f>
        <v/>
      </c>
      <c r="L38" s="736"/>
      <c r="M38" s="739"/>
      <c r="N38" s="739"/>
      <c r="O38" s="750"/>
      <c r="P38" s="753"/>
      <c r="Q38" s="226"/>
    </row>
    <row r="39" spans="1:17" ht="129.44999999999999" customHeight="1">
      <c r="A39" s="754" t="s">
        <v>25</v>
      </c>
      <c r="B39" s="727" t="s">
        <v>124</v>
      </c>
      <c r="C39" s="730" t="s">
        <v>11</v>
      </c>
      <c r="D39" s="733">
        <v>6.7857142859999997E-2</v>
      </c>
      <c r="E39" s="246" t="s">
        <v>6</v>
      </c>
      <c r="F39" s="231" t="s">
        <v>1047</v>
      </c>
      <c r="G39" s="231" t="s">
        <v>1048</v>
      </c>
      <c r="H39" s="231" t="s">
        <v>1049</v>
      </c>
      <c r="I39" s="231" t="s">
        <v>1050</v>
      </c>
      <c r="J39" s="231" t="s">
        <v>1051</v>
      </c>
      <c r="K39" s="232" t="str" cm="1">
        <f t="array" aca="1" ref="K39" ca="1">IFERROR(INDEX(F39:J39,6-L39),"")</f>
        <v>Demonstrated Level 5 in the PPST Indicator as shown in COT rating sheet / inter-observer agreement form presented</v>
      </c>
      <c r="L39" s="734">
        <f ca="1">'Encoding Part 1'!I23</f>
        <v>4</v>
      </c>
      <c r="M39" s="737">
        <f>'Encoding Part 1'!K23</f>
        <v>0</v>
      </c>
      <c r="N39" s="737">
        <f>'Encoding Part 1'!L23</f>
        <v>0</v>
      </c>
      <c r="O39" s="748">
        <f ca="1">'Encoding Part 1'!M23</f>
        <v>4</v>
      </c>
      <c r="P39" s="751">
        <f ca="1">'Encoding Part 1'!N23</f>
        <v>0.27143</v>
      </c>
      <c r="Q39" s="226"/>
    </row>
    <row r="40" spans="1:17">
      <c r="A40" s="754"/>
      <c r="B40" s="728"/>
      <c r="C40" s="731"/>
      <c r="D40" s="731"/>
      <c r="E40" s="247" t="s">
        <v>7</v>
      </c>
      <c r="F40" s="234"/>
      <c r="G40" s="235"/>
      <c r="H40" s="235"/>
      <c r="I40" s="235"/>
      <c r="J40" s="235"/>
      <c r="K40" s="236" t="str" cm="1">
        <f t="array" ref="K40">IFERROR(INDEX(F40:J40,6-M39),"")</f>
        <v/>
      </c>
      <c r="L40" s="735"/>
      <c r="M40" s="738"/>
      <c r="N40" s="738"/>
      <c r="O40" s="749"/>
      <c r="P40" s="752"/>
      <c r="Q40" s="226"/>
    </row>
    <row r="41" spans="1:17" ht="15" thickBot="1">
      <c r="A41" s="754"/>
      <c r="B41" s="729"/>
      <c r="C41" s="732"/>
      <c r="D41" s="732"/>
      <c r="E41" s="248" t="s">
        <v>2</v>
      </c>
      <c r="F41" s="249"/>
      <c r="G41" s="239"/>
      <c r="H41" s="239"/>
      <c r="I41" s="239"/>
      <c r="J41" s="239"/>
      <c r="K41" s="239" t="str" cm="1">
        <f t="array" ref="K41">IFERROR(INDEX(F41:J41,6-N39),"")</f>
        <v/>
      </c>
      <c r="L41" s="736"/>
      <c r="M41" s="739"/>
      <c r="N41" s="739"/>
      <c r="O41" s="750"/>
      <c r="P41" s="753"/>
      <c r="Q41" s="226"/>
    </row>
    <row r="42" spans="1:17" ht="96.6">
      <c r="A42" s="754"/>
      <c r="B42" s="756" t="s">
        <v>26</v>
      </c>
      <c r="C42" s="730" t="s">
        <v>11</v>
      </c>
      <c r="D42" s="733">
        <v>6.7857142859999997E-2</v>
      </c>
      <c r="E42" s="230" t="s">
        <v>6</v>
      </c>
      <c r="F42" s="231" t="s">
        <v>1099</v>
      </c>
      <c r="G42" s="231" t="s">
        <v>1100</v>
      </c>
      <c r="H42" s="231" t="s">
        <v>1101</v>
      </c>
      <c r="I42" s="231" t="s">
        <v>1102</v>
      </c>
      <c r="J42" s="231" t="s">
        <v>1094</v>
      </c>
      <c r="K42" s="232" t="str" cm="1">
        <f t="array" ref="K42">IFERROR(INDEX(F42:J42,6-L42),"")</f>
        <v xml:space="preserve">Developed an intervention plan based on learner attainment data, as evidenced by MOV 3 </v>
      </c>
      <c r="L42" s="734">
        <f>'Encoding Part 1'!I24</f>
        <v>4</v>
      </c>
      <c r="M42" s="737">
        <f>'Encoding Part 1'!K24</f>
        <v>0</v>
      </c>
      <c r="N42" s="737">
        <f>'Encoding Part 1'!L24</f>
        <v>0</v>
      </c>
      <c r="O42" s="748">
        <f>'Encoding Part 1'!M24</f>
        <v>4</v>
      </c>
      <c r="P42" s="751">
        <f>'Encoding Part 1'!N24</f>
        <v>0.27143</v>
      </c>
      <c r="Q42" s="226"/>
    </row>
    <row r="43" spans="1:17">
      <c r="A43" s="754"/>
      <c r="B43" s="757"/>
      <c r="C43" s="731"/>
      <c r="D43" s="731"/>
      <c r="E43" s="233" t="s">
        <v>7</v>
      </c>
      <c r="F43" s="250"/>
      <c r="G43" s="235"/>
      <c r="H43" s="235"/>
      <c r="I43" s="235"/>
      <c r="J43" s="235"/>
      <c r="K43" s="236" t="str" cm="1">
        <f t="array" ref="K43">IFERROR(INDEX(F43:J43,6-M42),"")</f>
        <v/>
      </c>
      <c r="L43" s="735"/>
      <c r="M43" s="738"/>
      <c r="N43" s="738"/>
      <c r="O43" s="749"/>
      <c r="P43" s="752"/>
      <c r="Q43" s="226"/>
    </row>
    <row r="44" spans="1:17" ht="15" thickBot="1">
      <c r="A44" s="754"/>
      <c r="B44" s="758"/>
      <c r="C44" s="732"/>
      <c r="D44" s="732"/>
      <c r="E44" s="237" t="s">
        <v>2</v>
      </c>
      <c r="F44" s="251"/>
      <c r="G44" s="239"/>
      <c r="H44" s="239"/>
      <c r="I44" s="239"/>
      <c r="J44" s="239"/>
      <c r="K44" s="240" t="str" cm="1">
        <f t="array" ref="K44">IFERROR(INDEX(F44:J44,6-N42),"")</f>
        <v/>
      </c>
      <c r="L44" s="736"/>
      <c r="M44" s="739"/>
      <c r="N44" s="739"/>
      <c r="O44" s="750"/>
      <c r="P44" s="753"/>
      <c r="Q44" s="226"/>
    </row>
    <row r="45" spans="1:17" ht="150.44999999999999" customHeight="1">
      <c r="A45" s="754"/>
      <c r="B45" s="727" t="s">
        <v>27</v>
      </c>
      <c r="C45" s="730" t="s">
        <v>11</v>
      </c>
      <c r="D45" s="733">
        <v>6.7857142859999997E-2</v>
      </c>
      <c r="E45" s="246" t="s">
        <v>6</v>
      </c>
      <c r="F45" s="296" t="s">
        <v>1103</v>
      </c>
      <c r="G45" s="296" t="s">
        <v>1104</v>
      </c>
      <c r="H45" s="296" t="s">
        <v>1105</v>
      </c>
      <c r="I45" s="296" t="s">
        <v>1106</v>
      </c>
      <c r="J45" s="296" t="s">
        <v>1094</v>
      </c>
      <c r="K45" s="232" t="str" cm="1">
        <f t="array" ref="K45">IFERROR(INDEX(F45:J45,6-L45),"")</f>
        <v>Secured commitment and agreement from key stakeholders, including parents/ guardians, on the communicated learners needs, progress, and achievement, as evidenced by the MOV/s presented</v>
      </c>
      <c r="L45" s="734">
        <f>'Encoding Part 1'!I25</f>
        <v>5</v>
      </c>
      <c r="M45" s="760">
        <f>'Encoding Part 1'!K25</f>
        <v>4</v>
      </c>
      <c r="N45" s="760">
        <f>'Encoding Part 1'!L25</f>
        <v>4</v>
      </c>
      <c r="O45" s="748">
        <f>'Encoding Part 1'!M25</f>
        <v>4.3333000000000004</v>
      </c>
      <c r="P45" s="751">
        <f>'Encoding Part 1'!N25</f>
        <v>0.29404999999999998</v>
      </c>
      <c r="Q45" s="226"/>
    </row>
    <row r="46" spans="1:17" ht="34.5" customHeight="1">
      <c r="A46" s="754"/>
      <c r="B46" s="728"/>
      <c r="C46" s="731"/>
      <c r="D46" s="731"/>
      <c r="E46" s="247" t="s">
        <v>7</v>
      </c>
      <c r="F46" s="231" t="s">
        <v>1107</v>
      </c>
      <c r="G46" s="231" t="s">
        <v>1108</v>
      </c>
      <c r="H46" s="231" t="s">
        <v>1109</v>
      </c>
      <c r="I46" s="231" t="s">
        <v>1110</v>
      </c>
      <c r="J46" s="231" t="s">
        <v>1094</v>
      </c>
      <c r="K46" s="252" t="str" cm="1">
        <f t="array" ref="K46">IFERROR(INDEX(F46:J46,6-M45),"")</f>
        <v>Presented three (3) acceptable MOVs</v>
      </c>
      <c r="L46" s="735"/>
      <c r="M46" s="761"/>
      <c r="N46" s="761"/>
      <c r="O46" s="749"/>
      <c r="P46" s="752"/>
      <c r="Q46" s="226"/>
    </row>
    <row r="47" spans="1:17" ht="97.2" thickBot="1">
      <c r="A47" s="754"/>
      <c r="B47" s="729"/>
      <c r="C47" s="732"/>
      <c r="D47" s="732"/>
      <c r="E47" s="248" t="s">
        <v>2</v>
      </c>
      <c r="F47" s="297" t="s">
        <v>1111</v>
      </c>
      <c r="G47" s="297" t="s">
        <v>1112</v>
      </c>
      <c r="H47" s="297" t="s">
        <v>1113</v>
      </c>
      <c r="I47" s="297" t="s">
        <v>1114</v>
      </c>
      <c r="J47" s="297" t="s">
        <v>1094</v>
      </c>
      <c r="K47" s="253" t="str" cm="1">
        <f t="array" ref="K47">IFERROR(INDEX(F47:J47,6-N45),"")</f>
        <v>MOV/s presented showed prompt communication of learners’ needs, progress, and achievement across 3 quarters</v>
      </c>
      <c r="L47" s="736"/>
      <c r="M47" s="762"/>
      <c r="N47" s="762"/>
      <c r="O47" s="750"/>
      <c r="P47" s="753"/>
      <c r="Q47" s="226"/>
    </row>
    <row r="48" spans="1:17" ht="145.5" customHeight="1">
      <c r="A48" s="754" t="s">
        <v>28</v>
      </c>
      <c r="B48" s="770" t="s">
        <v>29</v>
      </c>
      <c r="C48" s="766" t="s">
        <v>11</v>
      </c>
      <c r="D48" s="767">
        <v>6.7857142859999997E-2</v>
      </c>
      <c r="E48" s="462" t="s">
        <v>6</v>
      </c>
      <c r="F48" s="463" t="s">
        <v>1115</v>
      </c>
      <c r="G48" s="463" t="s">
        <v>1116</v>
      </c>
      <c r="H48" s="463" t="s">
        <v>1117</v>
      </c>
      <c r="I48" s="463" t="s">
        <v>1118</v>
      </c>
      <c r="J48" s="463" t="s">
        <v>1094</v>
      </c>
      <c r="K48" s="289" t="str" cm="1">
        <f t="array" ref="K48">IFERROR(INDEX(F48:J48,6-L48),"")</f>
        <v>Articulated a learnercentered philosophy and explained how it informed the design and choice of instructional strategies, with evident links in the annotation</v>
      </c>
      <c r="L48" s="768">
        <f>'Encoding Part 1'!I26</f>
        <v>4</v>
      </c>
      <c r="M48" s="769">
        <f>'Encoding Part 1'!K26</f>
        <v>0</v>
      </c>
      <c r="N48" s="769">
        <f>'Encoding Part 1'!L26</f>
        <v>0</v>
      </c>
      <c r="O48" s="763">
        <f>'Encoding Part 1'!M26</f>
        <v>4</v>
      </c>
      <c r="P48" s="764">
        <f>'Encoding Part 1'!N26</f>
        <v>0.27143</v>
      </c>
      <c r="Q48" s="226"/>
    </row>
    <row r="49" spans="1:17">
      <c r="A49" s="754"/>
      <c r="B49" s="728"/>
      <c r="C49" s="731"/>
      <c r="D49" s="731"/>
      <c r="E49" s="233" t="s">
        <v>7</v>
      </c>
      <c r="F49" s="255"/>
      <c r="G49" s="235"/>
      <c r="H49" s="235"/>
      <c r="I49" s="235"/>
      <c r="J49" s="235"/>
      <c r="K49" s="236" t="str" cm="1">
        <f t="array" ref="K49">IFERROR(INDEX(F49:J49,6-M48),"")</f>
        <v/>
      </c>
      <c r="L49" s="735"/>
      <c r="M49" s="738"/>
      <c r="N49" s="738"/>
      <c r="O49" s="749"/>
      <c r="P49" s="752"/>
      <c r="Q49" s="226"/>
    </row>
    <row r="50" spans="1:17" ht="15" thickBot="1">
      <c r="A50" s="754"/>
      <c r="B50" s="729"/>
      <c r="C50" s="732"/>
      <c r="D50" s="732"/>
      <c r="E50" s="256" t="s">
        <v>2</v>
      </c>
      <c r="F50" s="257"/>
      <c r="G50" s="239"/>
      <c r="H50" s="239"/>
      <c r="I50" s="239"/>
      <c r="J50" s="239"/>
      <c r="K50" s="239" t="str" cm="1">
        <f t="array" ref="K50">IFERROR(INDEX(F50:J50,6-N48),"")</f>
        <v/>
      </c>
      <c r="L50" s="736"/>
      <c r="M50" s="739"/>
      <c r="N50" s="739"/>
      <c r="O50" s="750"/>
      <c r="P50" s="753"/>
      <c r="Q50" s="226"/>
    </row>
    <row r="51" spans="1:17" ht="96.6">
      <c r="A51" s="754"/>
      <c r="B51" s="727" t="s">
        <v>30</v>
      </c>
      <c r="C51" s="730" t="s">
        <v>11</v>
      </c>
      <c r="D51" s="733">
        <v>6.7857142859999997E-2</v>
      </c>
      <c r="E51" s="230" t="s">
        <v>6</v>
      </c>
      <c r="F51" s="258" t="s">
        <v>1119</v>
      </c>
      <c r="G51" s="232" t="s">
        <v>1120</v>
      </c>
      <c r="H51" s="232" t="s">
        <v>1121</v>
      </c>
      <c r="I51" s="232" t="s">
        <v>1122</v>
      </c>
      <c r="J51" s="259" t="s">
        <v>1094</v>
      </c>
      <c r="K51" s="232" t="str" cm="1">
        <f t="array" ref="K51">IFERROR(INDEX(F51:J51,6-L51),"")</f>
        <v>Updated professional development goals during Phase II of the PMES Cycle as evidenced by MOV 4</v>
      </c>
      <c r="L51" s="734">
        <f>'Encoding Part 1'!I27</f>
        <v>5</v>
      </c>
      <c r="M51" s="760">
        <f>'Encoding Part 1'!K27</f>
        <v>4</v>
      </c>
      <c r="N51" s="760">
        <f>'Encoding Part 1'!L27</f>
        <v>4</v>
      </c>
      <c r="O51" s="748">
        <f>'Encoding Part 1'!M27</f>
        <v>4.3333000000000004</v>
      </c>
      <c r="P51" s="751">
        <f>'Encoding Part 1'!N27</f>
        <v>0.29404999999999998</v>
      </c>
      <c r="Q51" s="226"/>
    </row>
    <row r="52" spans="1:17" ht="27.6">
      <c r="A52" s="754"/>
      <c r="B52" s="728"/>
      <c r="C52" s="731"/>
      <c r="D52" s="731"/>
      <c r="E52" s="233" t="s">
        <v>7</v>
      </c>
      <c r="F52" s="259" t="s">
        <v>1107</v>
      </c>
      <c r="G52" s="252" t="s">
        <v>1108</v>
      </c>
      <c r="H52" s="252" t="s">
        <v>1109</v>
      </c>
      <c r="I52" s="252" t="s">
        <v>1110</v>
      </c>
      <c r="J52" s="259" t="s">
        <v>1094</v>
      </c>
      <c r="K52" s="252" t="str" cm="1">
        <f t="array" ref="K52">IFERROR(INDEX(F52:J52,6-M51),"")</f>
        <v>Presented three (3) acceptable MOVs</v>
      </c>
      <c r="L52" s="735"/>
      <c r="M52" s="761"/>
      <c r="N52" s="761"/>
      <c r="O52" s="749"/>
      <c r="P52" s="752"/>
      <c r="Q52" s="226"/>
    </row>
    <row r="53" spans="1:17" ht="69.599999999999994" thickBot="1">
      <c r="A53" s="780"/>
      <c r="B53" s="729"/>
      <c r="C53" s="732"/>
      <c r="D53" s="732"/>
      <c r="E53" s="237" t="s">
        <v>2</v>
      </c>
      <c r="F53" s="260" t="s">
        <v>1123</v>
      </c>
      <c r="G53" s="253" t="s">
        <v>1124</v>
      </c>
      <c r="H53" s="253" t="s">
        <v>1125</v>
      </c>
      <c r="I53" s="253" t="s">
        <v>1126</v>
      </c>
      <c r="J53" s="261" t="s">
        <v>1094</v>
      </c>
      <c r="K53" s="253" t="str" cm="1">
        <f t="array" ref="K53">IFERROR(INDEX(F53:J53,6-N51),"")</f>
        <v>All three (3) presented MOVs were accomplished within the prescribed PMES Phase</v>
      </c>
      <c r="L53" s="736"/>
      <c r="M53" s="762"/>
      <c r="N53" s="762"/>
      <c r="O53" s="750"/>
      <c r="P53" s="753"/>
      <c r="Q53" s="226"/>
    </row>
    <row r="54" spans="1:17" ht="14.55" hidden="1" customHeight="1">
      <c r="A54" s="262"/>
      <c r="B54" s="263"/>
      <c r="C54" s="264"/>
      <c r="D54" s="265"/>
      <c r="E54" s="266" t="s">
        <v>7</v>
      </c>
      <c r="F54" s="267" t="s">
        <v>176</v>
      </c>
      <c r="G54" s="267" t="s">
        <v>176</v>
      </c>
      <c r="H54" s="267" t="s">
        <v>176</v>
      </c>
      <c r="I54" s="267" t="s">
        <v>176</v>
      </c>
      <c r="J54" s="267" t="s">
        <v>176</v>
      </c>
      <c r="K54" s="268" t="str" cm="1">
        <f t="array" ref="K54">IFERROR(INDEX(F54:J54,6-#REF!),"")</f>
        <v/>
      </c>
      <c r="L54" s="775"/>
      <c r="M54" s="775"/>
      <c r="N54" s="775"/>
      <c r="O54" s="763"/>
      <c r="P54" s="764"/>
      <c r="Q54" s="226"/>
    </row>
    <row r="55" spans="1:17" ht="14.55" hidden="1" customHeight="1">
      <c r="A55" s="262"/>
      <c r="B55" s="269"/>
      <c r="C55" s="270"/>
      <c r="D55" s="271"/>
      <c r="E55" s="242" t="s">
        <v>2</v>
      </c>
      <c r="F55" s="272" t="s">
        <v>176</v>
      </c>
      <c r="G55" s="272" t="s">
        <v>176</v>
      </c>
      <c r="H55" s="272" t="s">
        <v>176</v>
      </c>
      <c r="I55" s="272" t="s">
        <v>176</v>
      </c>
      <c r="J55" s="272" t="s">
        <v>176</v>
      </c>
      <c r="K55" s="272" t="str" cm="1">
        <f t="array" ref="K55">IFERROR(INDEX(F55:J55,6-#REF!),"")</f>
        <v/>
      </c>
      <c r="L55" s="761"/>
      <c r="M55" s="761"/>
      <c r="N55" s="761"/>
      <c r="O55" s="749"/>
      <c r="P55" s="752"/>
      <c r="Q55" s="226"/>
    </row>
    <row r="56" spans="1:17" hidden="1">
      <c r="A56" s="771" t="s">
        <v>176</v>
      </c>
      <c r="B56" s="772" t="s">
        <v>176</v>
      </c>
      <c r="C56" s="773" t="e">
        <v>#REF!</v>
      </c>
      <c r="D56" s="774">
        <v>0</v>
      </c>
      <c r="E56" s="242" t="s">
        <v>6</v>
      </c>
      <c r="F56" s="272" t="s">
        <v>176</v>
      </c>
      <c r="G56" s="272" t="s">
        <v>176</v>
      </c>
      <c r="H56" s="272" t="s">
        <v>176</v>
      </c>
      <c r="I56" s="272" t="s">
        <v>176</v>
      </c>
      <c r="J56" s="272" t="s">
        <v>176</v>
      </c>
      <c r="K56" s="273" t="str" cm="1">
        <f t="array" ref="K56">IFERROR(INDEX(F56:J56,6-L56),"")</f>
        <v/>
      </c>
      <c r="L56" s="761" t="s">
        <v>176</v>
      </c>
      <c r="M56" s="761" t="s">
        <v>176</v>
      </c>
      <c r="N56" s="761" t="s">
        <v>176</v>
      </c>
      <c r="O56" s="749">
        <f t="shared" ref="O56" si="0">IFERROR(ROUNDDOWN(AVERAGE($L56:$N56),3),0)</f>
        <v>0</v>
      </c>
      <c r="P56" s="752">
        <f t="shared" ref="P56" si="1">ROUNDDOWN($O56*$D56,3)</f>
        <v>0</v>
      </c>
      <c r="Q56" s="226"/>
    </row>
    <row r="57" spans="1:17" hidden="1">
      <c r="A57" s="771"/>
      <c r="B57" s="772"/>
      <c r="C57" s="773"/>
      <c r="D57" s="774"/>
      <c r="E57" s="242" t="s">
        <v>7</v>
      </c>
      <c r="F57" s="272" t="s">
        <v>176</v>
      </c>
      <c r="G57" s="272" t="s">
        <v>176</v>
      </c>
      <c r="H57" s="272" t="s">
        <v>176</v>
      </c>
      <c r="I57" s="272" t="s">
        <v>176</v>
      </c>
      <c r="J57" s="272" t="s">
        <v>176</v>
      </c>
      <c r="K57" s="273" t="str" cm="1">
        <f t="array" ref="K57">IFERROR(INDEX(F57:J57,6-M56),"")</f>
        <v/>
      </c>
      <c r="L57" s="761"/>
      <c r="M57" s="761"/>
      <c r="N57" s="761"/>
      <c r="O57" s="749"/>
      <c r="P57" s="752"/>
      <c r="Q57" s="226"/>
    </row>
    <row r="58" spans="1:17" hidden="1">
      <c r="A58" s="771"/>
      <c r="B58" s="772"/>
      <c r="C58" s="773"/>
      <c r="D58" s="774"/>
      <c r="E58" s="242" t="s">
        <v>2</v>
      </c>
      <c r="F58" s="272" t="s">
        <v>176</v>
      </c>
      <c r="G58" s="272" t="s">
        <v>176</v>
      </c>
      <c r="H58" s="272" t="s">
        <v>176</v>
      </c>
      <c r="I58" s="272" t="s">
        <v>176</v>
      </c>
      <c r="J58" s="272" t="s">
        <v>176</v>
      </c>
      <c r="K58" s="272" t="str" cm="1">
        <f t="array" ref="K58">IFERROR(INDEX(F58:J58,6-N56),"")</f>
        <v/>
      </c>
      <c r="L58" s="761"/>
      <c r="M58" s="761"/>
      <c r="N58" s="761"/>
      <c r="O58" s="749"/>
      <c r="P58" s="752"/>
      <c r="Q58" s="226"/>
    </row>
    <row r="59" spans="1:17" hidden="1">
      <c r="A59" s="771" t="s">
        <v>176</v>
      </c>
      <c r="B59" s="772" t="s">
        <v>176</v>
      </c>
      <c r="C59" s="773" t="e">
        <v>#REF!</v>
      </c>
      <c r="D59" s="774">
        <v>0</v>
      </c>
      <c r="E59" s="242" t="s">
        <v>6</v>
      </c>
      <c r="F59" s="272" t="s">
        <v>176</v>
      </c>
      <c r="G59" s="272" t="s">
        <v>176</v>
      </c>
      <c r="H59" s="272" t="s">
        <v>176</v>
      </c>
      <c r="I59" s="272" t="s">
        <v>176</v>
      </c>
      <c r="J59" s="272" t="s">
        <v>176</v>
      </c>
      <c r="K59" s="273" t="str" cm="1">
        <f t="array" ref="K59">IFERROR(INDEX(F59:J59,6-L59),"")</f>
        <v/>
      </c>
      <c r="L59" s="761" t="s">
        <v>176</v>
      </c>
      <c r="M59" s="761" t="s">
        <v>176</v>
      </c>
      <c r="N59" s="761" t="s">
        <v>176</v>
      </c>
      <c r="O59" s="749">
        <f t="shared" ref="O59" si="2">IFERROR(ROUNDDOWN(AVERAGE($L59:$N59),3),0)</f>
        <v>0</v>
      </c>
      <c r="P59" s="752">
        <f t="shared" ref="P59" si="3">ROUNDDOWN($O59*$D59,3)</f>
        <v>0</v>
      </c>
      <c r="Q59" s="226"/>
    </row>
    <row r="60" spans="1:17" hidden="1">
      <c r="A60" s="771"/>
      <c r="B60" s="772"/>
      <c r="C60" s="773"/>
      <c r="D60" s="774"/>
      <c r="E60" s="242" t="s">
        <v>7</v>
      </c>
      <c r="F60" s="272" t="s">
        <v>176</v>
      </c>
      <c r="G60" s="272" t="s">
        <v>176</v>
      </c>
      <c r="H60" s="272" t="s">
        <v>176</v>
      </c>
      <c r="I60" s="272" t="s">
        <v>176</v>
      </c>
      <c r="J60" s="272" t="s">
        <v>176</v>
      </c>
      <c r="K60" s="273" t="str" cm="1">
        <f t="array" ref="K60">IFERROR(INDEX(F60:J60,6-M59),"")</f>
        <v/>
      </c>
      <c r="L60" s="761"/>
      <c r="M60" s="761"/>
      <c r="N60" s="761"/>
      <c r="O60" s="749"/>
      <c r="P60" s="752"/>
      <c r="Q60" s="226"/>
    </row>
    <row r="61" spans="1:17" hidden="1">
      <c r="A61" s="771"/>
      <c r="B61" s="772"/>
      <c r="C61" s="773"/>
      <c r="D61" s="774"/>
      <c r="E61" s="242" t="s">
        <v>2</v>
      </c>
      <c r="F61" s="272" t="s">
        <v>176</v>
      </c>
      <c r="G61" s="272" t="s">
        <v>176</v>
      </c>
      <c r="H61" s="272" t="s">
        <v>176</v>
      </c>
      <c r="I61" s="272" t="s">
        <v>176</v>
      </c>
      <c r="J61" s="272" t="s">
        <v>176</v>
      </c>
      <c r="K61" s="272" t="str" cm="1">
        <f t="array" ref="K61">IFERROR(INDEX(F61:J61,6-N59),"")</f>
        <v/>
      </c>
      <c r="L61" s="761"/>
      <c r="M61" s="761"/>
      <c r="N61" s="761"/>
      <c r="O61" s="749"/>
      <c r="P61" s="752"/>
      <c r="Q61" s="226"/>
    </row>
    <row r="62" spans="1:17" hidden="1">
      <c r="A62" s="771" t="s">
        <v>176</v>
      </c>
      <c r="B62" s="772" t="s">
        <v>176</v>
      </c>
      <c r="C62" s="773" t="e">
        <v>#REF!</v>
      </c>
      <c r="D62" s="774">
        <v>0</v>
      </c>
      <c r="E62" s="242" t="s">
        <v>6</v>
      </c>
      <c r="F62" s="272" t="s">
        <v>176</v>
      </c>
      <c r="G62" s="272" t="s">
        <v>176</v>
      </c>
      <c r="H62" s="272" t="s">
        <v>176</v>
      </c>
      <c r="I62" s="272" t="s">
        <v>176</v>
      </c>
      <c r="J62" s="272" t="s">
        <v>176</v>
      </c>
      <c r="K62" s="273" t="str" cm="1">
        <f t="array" ref="K62">IFERROR(INDEX(F62:J62,6-L62),"")</f>
        <v/>
      </c>
      <c r="L62" s="761" t="s">
        <v>176</v>
      </c>
      <c r="M62" s="761" t="s">
        <v>176</v>
      </c>
      <c r="N62" s="761" t="s">
        <v>176</v>
      </c>
      <c r="O62" s="749">
        <f t="shared" ref="O62" si="4">IFERROR(ROUNDDOWN(AVERAGE($L62:$N62),3),0)</f>
        <v>0</v>
      </c>
      <c r="P62" s="752">
        <f t="shared" ref="P62" si="5">ROUNDDOWN($O62*$D62,3)</f>
        <v>0</v>
      </c>
      <c r="Q62" s="226"/>
    </row>
    <row r="63" spans="1:17" hidden="1">
      <c r="A63" s="771"/>
      <c r="B63" s="772"/>
      <c r="C63" s="773"/>
      <c r="D63" s="774"/>
      <c r="E63" s="242" t="s">
        <v>7</v>
      </c>
      <c r="F63" s="272" t="s">
        <v>176</v>
      </c>
      <c r="G63" s="272" t="s">
        <v>176</v>
      </c>
      <c r="H63" s="272" t="s">
        <v>176</v>
      </c>
      <c r="I63" s="272" t="s">
        <v>176</v>
      </c>
      <c r="J63" s="272" t="s">
        <v>176</v>
      </c>
      <c r="K63" s="273" t="str" cm="1">
        <f t="array" ref="K63">IFERROR(INDEX(F63:J63,6-M62),"")</f>
        <v/>
      </c>
      <c r="L63" s="761"/>
      <c r="M63" s="761"/>
      <c r="N63" s="761"/>
      <c r="O63" s="749"/>
      <c r="P63" s="752"/>
      <c r="Q63" s="226"/>
    </row>
    <row r="64" spans="1:17" hidden="1">
      <c r="A64" s="771"/>
      <c r="B64" s="772"/>
      <c r="C64" s="773"/>
      <c r="D64" s="774"/>
      <c r="E64" s="242" t="s">
        <v>2</v>
      </c>
      <c r="F64" s="272" t="s">
        <v>176</v>
      </c>
      <c r="G64" s="272" t="s">
        <v>176</v>
      </c>
      <c r="H64" s="272" t="s">
        <v>176</v>
      </c>
      <c r="I64" s="272" t="s">
        <v>176</v>
      </c>
      <c r="J64" s="272" t="s">
        <v>176</v>
      </c>
      <c r="K64" s="272" t="str" cm="1">
        <f t="array" ref="K64">IFERROR(INDEX(F64:J64,6-N62),"")</f>
        <v/>
      </c>
      <c r="L64" s="761"/>
      <c r="M64" s="761"/>
      <c r="N64" s="761"/>
      <c r="O64" s="749"/>
      <c r="P64" s="752"/>
      <c r="Q64" s="226"/>
    </row>
    <row r="65" spans="1:17" hidden="1">
      <c r="A65" s="771" t="s">
        <v>176</v>
      </c>
      <c r="B65" s="772" t="s">
        <v>176</v>
      </c>
      <c r="C65" s="773" t="e">
        <v>#REF!</v>
      </c>
      <c r="D65" s="774">
        <v>0</v>
      </c>
      <c r="E65" s="242" t="s">
        <v>6</v>
      </c>
      <c r="F65" s="272" t="s">
        <v>176</v>
      </c>
      <c r="G65" s="272" t="s">
        <v>176</v>
      </c>
      <c r="H65" s="272" t="s">
        <v>176</v>
      </c>
      <c r="I65" s="272" t="s">
        <v>176</v>
      </c>
      <c r="J65" s="272" t="s">
        <v>176</v>
      </c>
      <c r="K65" s="273" t="str" cm="1">
        <f t="array" ref="K65">IFERROR(INDEX(F65:J65,6-L65),"")</f>
        <v/>
      </c>
      <c r="L65" s="761" t="s">
        <v>176</v>
      </c>
      <c r="M65" s="761" t="s">
        <v>176</v>
      </c>
      <c r="N65" s="761" t="s">
        <v>176</v>
      </c>
      <c r="O65" s="749">
        <f t="shared" ref="O65" si="6">IFERROR(ROUNDDOWN(AVERAGE($L65:$N65),3),0)</f>
        <v>0</v>
      </c>
      <c r="P65" s="752">
        <f t="shared" ref="P65" si="7">ROUNDDOWN($O65*$D65,3)</f>
        <v>0</v>
      </c>
      <c r="Q65" s="226"/>
    </row>
    <row r="66" spans="1:17" hidden="1">
      <c r="A66" s="771"/>
      <c r="B66" s="772"/>
      <c r="C66" s="773"/>
      <c r="D66" s="774"/>
      <c r="E66" s="242" t="s">
        <v>7</v>
      </c>
      <c r="F66" s="272" t="s">
        <v>176</v>
      </c>
      <c r="G66" s="272" t="s">
        <v>176</v>
      </c>
      <c r="H66" s="272" t="s">
        <v>176</v>
      </c>
      <c r="I66" s="272" t="s">
        <v>176</v>
      </c>
      <c r="J66" s="272" t="s">
        <v>176</v>
      </c>
      <c r="K66" s="273" t="str" cm="1">
        <f t="array" ref="K66">IFERROR(INDEX(F66:J66,6-M65),"")</f>
        <v/>
      </c>
      <c r="L66" s="761"/>
      <c r="M66" s="761"/>
      <c r="N66" s="761"/>
      <c r="O66" s="749"/>
      <c r="P66" s="752"/>
      <c r="Q66" s="226"/>
    </row>
    <row r="67" spans="1:17" hidden="1">
      <c r="A67" s="771"/>
      <c r="B67" s="772"/>
      <c r="C67" s="773"/>
      <c r="D67" s="774"/>
      <c r="E67" s="242" t="s">
        <v>2</v>
      </c>
      <c r="F67" s="272" t="s">
        <v>176</v>
      </c>
      <c r="G67" s="272" t="s">
        <v>176</v>
      </c>
      <c r="H67" s="272" t="s">
        <v>176</v>
      </c>
      <c r="I67" s="272" t="s">
        <v>176</v>
      </c>
      <c r="J67" s="272" t="s">
        <v>176</v>
      </c>
      <c r="K67" s="272" t="str" cm="1">
        <f t="array" ref="K67">IFERROR(INDEX(F67:J67,6-N65),"")</f>
        <v/>
      </c>
      <c r="L67" s="761"/>
      <c r="M67" s="761"/>
      <c r="N67" s="761"/>
      <c r="O67" s="749"/>
      <c r="P67" s="752"/>
      <c r="Q67" s="226"/>
    </row>
    <row r="68" spans="1:17" hidden="1">
      <c r="A68" s="771" t="s">
        <v>176</v>
      </c>
      <c r="B68" s="772" t="s">
        <v>176</v>
      </c>
      <c r="C68" s="773" t="e">
        <v>#REF!</v>
      </c>
      <c r="D68" s="774">
        <v>0</v>
      </c>
      <c r="E68" s="242" t="s">
        <v>6</v>
      </c>
      <c r="F68" s="272" t="s">
        <v>176</v>
      </c>
      <c r="G68" s="272" t="s">
        <v>176</v>
      </c>
      <c r="H68" s="272" t="s">
        <v>176</v>
      </c>
      <c r="I68" s="272" t="s">
        <v>176</v>
      </c>
      <c r="J68" s="272" t="s">
        <v>176</v>
      </c>
      <c r="K68" s="273" t="str" cm="1">
        <f t="array" ref="K68">IFERROR(INDEX(F68:J68,6-L68),"")</f>
        <v/>
      </c>
      <c r="L68" s="761" t="s">
        <v>176</v>
      </c>
      <c r="M68" s="761" t="s">
        <v>176</v>
      </c>
      <c r="N68" s="761" t="s">
        <v>176</v>
      </c>
      <c r="O68" s="749">
        <f t="shared" ref="O68" si="8">IFERROR(ROUNDDOWN(AVERAGE($L68:$N68),3),0)</f>
        <v>0</v>
      </c>
      <c r="P68" s="752">
        <f t="shared" ref="P68" si="9">ROUNDDOWN($O68*$D68,3)</f>
        <v>0</v>
      </c>
      <c r="Q68" s="226"/>
    </row>
    <row r="69" spans="1:17" hidden="1">
      <c r="A69" s="771"/>
      <c r="B69" s="772"/>
      <c r="C69" s="773"/>
      <c r="D69" s="774"/>
      <c r="E69" s="242" t="s">
        <v>7</v>
      </c>
      <c r="F69" s="272" t="s">
        <v>176</v>
      </c>
      <c r="G69" s="272" t="s">
        <v>176</v>
      </c>
      <c r="H69" s="272" t="s">
        <v>176</v>
      </c>
      <c r="I69" s="272" t="s">
        <v>176</v>
      </c>
      <c r="J69" s="272" t="s">
        <v>176</v>
      </c>
      <c r="K69" s="273" t="str" cm="1">
        <f t="array" ref="K69">IFERROR(INDEX(F69:J69,6-M68),"")</f>
        <v/>
      </c>
      <c r="L69" s="761"/>
      <c r="M69" s="761"/>
      <c r="N69" s="761"/>
      <c r="O69" s="749"/>
      <c r="P69" s="752"/>
      <c r="Q69" s="226"/>
    </row>
    <row r="70" spans="1:17" hidden="1">
      <c r="A70" s="771"/>
      <c r="B70" s="772"/>
      <c r="C70" s="773"/>
      <c r="D70" s="774"/>
      <c r="E70" s="242" t="s">
        <v>2</v>
      </c>
      <c r="F70" s="272" t="s">
        <v>176</v>
      </c>
      <c r="G70" s="272" t="s">
        <v>176</v>
      </c>
      <c r="H70" s="272" t="s">
        <v>176</v>
      </c>
      <c r="I70" s="272" t="s">
        <v>176</v>
      </c>
      <c r="J70" s="272" t="s">
        <v>176</v>
      </c>
      <c r="K70" s="272" t="str" cm="1">
        <f t="array" ref="K70">IFERROR(INDEX(F70:J70,6-N68),"")</f>
        <v/>
      </c>
      <c r="L70" s="761"/>
      <c r="M70" s="761"/>
      <c r="N70" s="761"/>
      <c r="O70" s="749"/>
      <c r="P70" s="752"/>
      <c r="Q70" s="226"/>
    </row>
    <row r="71" spans="1:17" hidden="1">
      <c r="A71" s="771" t="s">
        <v>176</v>
      </c>
      <c r="B71" s="772" t="s">
        <v>176</v>
      </c>
      <c r="C71" s="773" t="e">
        <v>#REF!</v>
      </c>
      <c r="D71" s="774">
        <v>0</v>
      </c>
      <c r="E71" s="242" t="s">
        <v>6</v>
      </c>
      <c r="F71" s="272" t="s">
        <v>176</v>
      </c>
      <c r="G71" s="272" t="s">
        <v>176</v>
      </c>
      <c r="H71" s="272" t="s">
        <v>176</v>
      </c>
      <c r="I71" s="272" t="s">
        <v>176</v>
      </c>
      <c r="J71" s="272" t="s">
        <v>176</v>
      </c>
      <c r="K71" s="273" t="str" cm="1">
        <f t="array" ref="K71">IFERROR(INDEX(F71:J71,6-L71),"")</f>
        <v/>
      </c>
      <c r="L71" s="761" t="s">
        <v>176</v>
      </c>
      <c r="M71" s="761" t="s">
        <v>176</v>
      </c>
      <c r="N71" s="761" t="s">
        <v>176</v>
      </c>
      <c r="O71" s="749">
        <f t="shared" ref="O71" si="10">IFERROR(ROUNDDOWN(AVERAGE($L71:$N71),3),0)</f>
        <v>0</v>
      </c>
      <c r="P71" s="752">
        <f t="shared" ref="P71" si="11">ROUNDDOWN($O71*$D71,3)</f>
        <v>0</v>
      </c>
      <c r="Q71" s="226"/>
    </row>
    <row r="72" spans="1:17" hidden="1">
      <c r="A72" s="771"/>
      <c r="B72" s="772"/>
      <c r="C72" s="773"/>
      <c r="D72" s="774"/>
      <c r="E72" s="242" t="s">
        <v>7</v>
      </c>
      <c r="F72" s="272" t="s">
        <v>176</v>
      </c>
      <c r="G72" s="272" t="s">
        <v>176</v>
      </c>
      <c r="H72" s="272" t="s">
        <v>176</v>
      </c>
      <c r="I72" s="272" t="s">
        <v>176</v>
      </c>
      <c r="J72" s="272" t="s">
        <v>176</v>
      </c>
      <c r="K72" s="273" t="str" cm="1">
        <f t="array" ref="K72">IFERROR(INDEX(F72:J72,6-M71),"")</f>
        <v/>
      </c>
      <c r="L72" s="761"/>
      <c r="M72" s="761"/>
      <c r="N72" s="761"/>
      <c r="O72" s="749"/>
      <c r="P72" s="752"/>
      <c r="Q72" s="226"/>
    </row>
    <row r="73" spans="1:17" ht="15" hidden="1" thickBot="1">
      <c r="A73" s="800"/>
      <c r="B73" s="801"/>
      <c r="C73" s="802"/>
      <c r="D73" s="803"/>
      <c r="E73" s="244" t="s">
        <v>2</v>
      </c>
      <c r="F73" s="274" t="s">
        <v>176</v>
      </c>
      <c r="G73" s="274" t="s">
        <v>176</v>
      </c>
      <c r="H73" s="274" t="s">
        <v>176</v>
      </c>
      <c r="I73" s="274" t="s">
        <v>176</v>
      </c>
      <c r="J73" s="274" t="s">
        <v>176</v>
      </c>
      <c r="K73" s="274" t="str" cm="1">
        <f t="array" ref="K73">IFERROR(INDEX(F73:J73,6-N71),"")</f>
        <v/>
      </c>
      <c r="L73" s="762"/>
      <c r="M73" s="762"/>
      <c r="N73" s="762"/>
      <c r="O73" s="750"/>
      <c r="P73" s="753"/>
      <c r="Q73" s="226"/>
    </row>
    <row r="74" spans="1:17" ht="37.049999999999997" customHeight="1" thickBot="1">
      <c r="A74" s="275"/>
      <c r="B74" s="275"/>
      <c r="C74" s="275"/>
      <c r="D74" s="275"/>
      <c r="E74" s="275"/>
      <c r="F74" s="275"/>
      <c r="G74" s="275"/>
      <c r="H74" s="275"/>
      <c r="I74" s="795" t="s">
        <v>1196</v>
      </c>
      <c r="J74" s="795"/>
      <c r="K74" s="796"/>
      <c r="L74" s="797" t="str">
        <f ca="1">'Encoding Part 1'!N29</f>
        <v>Very Satisfactory</v>
      </c>
      <c r="M74" s="798"/>
      <c r="N74" s="798"/>
      <c r="O74" s="799"/>
      <c r="P74" s="276">
        <f ca="1">ROUND(SUM(P12:P73),4)</f>
        <v>4.3541999999999996</v>
      </c>
      <c r="Q74" s="226"/>
    </row>
    <row r="75" spans="1:17" ht="19.5" customHeight="1" thickBot="1">
      <c r="A75" s="790" t="s">
        <v>1037</v>
      </c>
      <c r="B75" s="791"/>
      <c r="C75" s="791"/>
      <c r="D75" s="791"/>
      <c r="E75" s="792"/>
      <c r="F75" s="277"/>
      <c r="G75" s="277"/>
      <c r="H75" s="277"/>
      <c r="I75" s="277"/>
      <c r="J75" s="277"/>
      <c r="K75" s="277"/>
      <c r="L75" s="277"/>
      <c r="M75" s="277"/>
      <c r="N75" s="277"/>
      <c r="O75" s="277"/>
      <c r="P75" s="277"/>
    </row>
    <row r="76" spans="1:17" ht="15.75" customHeight="1">
      <c r="A76" s="278" t="s">
        <v>1038</v>
      </c>
      <c r="B76" s="779" t="s">
        <v>1039</v>
      </c>
      <c r="C76" s="779"/>
      <c r="D76" s="779"/>
      <c r="E76" s="779"/>
      <c r="F76" s="277"/>
      <c r="G76" s="277"/>
      <c r="H76" s="277"/>
      <c r="I76" s="277"/>
      <c r="J76" s="277"/>
      <c r="K76" s="277"/>
      <c r="L76" s="277"/>
      <c r="M76" s="277"/>
      <c r="N76" s="277"/>
      <c r="O76" s="277"/>
      <c r="P76" s="277"/>
    </row>
    <row r="77" spans="1:17" ht="15.75" customHeight="1">
      <c r="A77" s="279" t="s">
        <v>1040</v>
      </c>
      <c r="B77" s="778" t="s">
        <v>87</v>
      </c>
      <c r="C77" s="778"/>
      <c r="D77" s="778"/>
      <c r="E77" s="778"/>
      <c r="F77" s="277"/>
      <c r="G77" s="277"/>
      <c r="H77" s="277"/>
      <c r="I77" s="277"/>
      <c r="J77" s="277"/>
      <c r="K77" s="277"/>
      <c r="L77" s="277"/>
      <c r="M77" s="277"/>
      <c r="N77" s="277"/>
      <c r="O77" s="277"/>
      <c r="P77" s="277"/>
    </row>
    <row r="78" spans="1:17" ht="15.75" customHeight="1">
      <c r="A78" s="279" t="s">
        <v>1041</v>
      </c>
      <c r="B78" s="778" t="s">
        <v>85</v>
      </c>
      <c r="C78" s="778"/>
      <c r="D78" s="778"/>
      <c r="E78" s="778"/>
      <c r="F78" s="277"/>
      <c r="G78" s="277"/>
      <c r="H78" s="277"/>
      <c r="I78" s="277"/>
      <c r="J78" s="277"/>
      <c r="K78" s="277"/>
      <c r="L78" s="277"/>
      <c r="M78" s="277"/>
      <c r="N78" s="277"/>
      <c r="O78" s="277"/>
      <c r="P78" s="277"/>
    </row>
    <row r="79" spans="1:17" ht="15.75" customHeight="1">
      <c r="A79" s="279" t="s">
        <v>1042</v>
      </c>
      <c r="B79" s="778" t="s">
        <v>83</v>
      </c>
      <c r="C79" s="778"/>
      <c r="D79" s="778"/>
      <c r="E79" s="778"/>
      <c r="F79" s="277"/>
      <c r="G79" s="277"/>
      <c r="H79" s="277"/>
      <c r="I79" s="277"/>
      <c r="J79" s="277"/>
      <c r="K79" s="277"/>
      <c r="L79" s="277"/>
      <c r="M79" s="277"/>
      <c r="N79" s="277"/>
      <c r="O79" s="277"/>
      <c r="P79" s="277"/>
    </row>
    <row r="80" spans="1:17" ht="15.75" customHeight="1">
      <c r="A80" s="279" t="s">
        <v>1043</v>
      </c>
      <c r="B80" s="778" t="s">
        <v>81</v>
      </c>
      <c r="C80" s="778"/>
      <c r="D80" s="778"/>
      <c r="E80" s="778"/>
      <c r="F80" s="277"/>
      <c r="G80" s="277"/>
      <c r="H80" s="277"/>
      <c r="I80" s="277"/>
      <c r="J80" s="277"/>
      <c r="K80" s="277"/>
      <c r="L80" s="277"/>
      <c r="M80" s="277"/>
      <c r="N80" s="277"/>
      <c r="O80" s="277"/>
      <c r="P80" s="277"/>
    </row>
    <row r="81" spans="1:16" ht="15.75" customHeight="1">
      <c r="A81" s="279" t="s">
        <v>1044</v>
      </c>
      <c r="B81" s="778" t="s">
        <v>79</v>
      </c>
      <c r="C81" s="778"/>
      <c r="D81" s="778"/>
      <c r="E81" s="778"/>
      <c r="F81" s="277"/>
      <c r="G81" s="277"/>
      <c r="H81" s="277"/>
      <c r="I81" s="277"/>
      <c r="J81" s="277"/>
      <c r="K81" s="277"/>
      <c r="L81" s="277"/>
      <c r="M81" s="277"/>
      <c r="N81" s="277"/>
      <c r="O81" s="277"/>
      <c r="P81" s="277"/>
    </row>
    <row r="86" spans="1:16">
      <c r="A86" s="793" t="str">
        <f>C2</f>
        <v>EJONIE G. DEGOLLACION</v>
      </c>
      <c r="B86" s="793"/>
      <c r="C86" s="793"/>
      <c r="D86" s="793"/>
      <c r="F86" s="794" t="str">
        <f>J2</f>
        <v>GLORIFEL B. SAREÑO</v>
      </c>
      <c r="G86" s="794"/>
      <c r="H86" s="794"/>
      <c r="J86" s="793" t="str">
        <f>'Encoding Part 1'!L33&amp;" "&amp;'Encoding Part 1'!Q33&amp;" "&amp;'Encoding Part 1'!G33</f>
        <v>NICKJON C. BABATU-ON</v>
      </c>
      <c r="K86" s="793"/>
      <c r="L86" s="793"/>
      <c r="M86" s="793"/>
      <c r="N86" s="793"/>
    </row>
    <row r="87" spans="1:16" ht="15" customHeight="1">
      <c r="A87" s="776" t="s">
        <v>1007</v>
      </c>
      <c r="B87" s="776"/>
      <c r="C87" s="776"/>
      <c r="D87" s="776"/>
      <c r="E87" s="280"/>
      <c r="F87" s="777" t="s">
        <v>1045</v>
      </c>
      <c r="G87" s="777"/>
      <c r="H87" s="777"/>
      <c r="I87" s="280"/>
      <c r="J87" s="776" t="s">
        <v>1046</v>
      </c>
      <c r="K87" s="776"/>
      <c r="L87" s="776"/>
      <c r="M87" s="776"/>
      <c r="N87" s="776"/>
    </row>
  </sheetData>
  <sheetProtection algorithmName="SHA-512" hashValue="mPwCxT/r0KJbFTu/T8dDsaBl44YrJ1cszDwdFI3nT0+DySEi6u+ScENMQMfJfmpxvH0lGeY8KjuietWv1PKPEw==" saltValue="e5edeEgMTd6JI45GELYmpA==" spinCount="100000" sheet="1" objects="1" scenarios="1" formatRows="0"/>
  <mergeCells count="216">
    <mergeCell ref="A21:A26"/>
    <mergeCell ref="A30:A38"/>
    <mergeCell ref="A39:A47"/>
    <mergeCell ref="A48:A53"/>
    <mergeCell ref="J2:P2"/>
    <mergeCell ref="J3:P3"/>
    <mergeCell ref="J4:P4"/>
    <mergeCell ref="A75:E75"/>
    <mergeCell ref="A86:D86"/>
    <mergeCell ref="F86:H86"/>
    <mergeCell ref="J86:N86"/>
    <mergeCell ref="N71:N73"/>
    <mergeCell ref="O71:O73"/>
    <mergeCell ref="P71:P73"/>
    <mergeCell ref="I74:K74"/>
    <mergeCell ref="L74:O74"/>
    <mergeCell ref="A71:A73"/>
    <mergeCell ref="B71:B73"/>
    <mergeCell ref="C71:C73"/>
    <mergeCell ref="D71:D73"/>
    <mergeCell ref="L71:L73"/>
    <mergeCell ref="M71:M73"/>
    <mergeCell ref="A68:A70"/>
    <mergeCell ref="B68:B70"/>
    <mergeCell ref="A87:D87"/>
    <mergeCell ref="F87:H87"/>
    <mergeCell ref="J87:N87"/>
    <mergeCell ref="B79:E79"/>
    <mergeCell ref="B80:E80"/>
    <mergeCell ref="B81:E81"/>
    <mergeCell ref="B76:E76"/>
    <mergeCell ref="B77:E77"/>
    <mergeCell ref="B78:E78"/>
    <mergeCell ref="C68:C70"/>
    <mergeCell ref="D68:D70"/>
    <mergeCell ref="L68:L70"/>
    <mergeCell ref="M68:M70"/>
    <mergeCell ref="N68:N70"/>
    <mergeCell ref="O68:O70"/>
    <mergeCell ref="P68:P70"/>
    <mergeCell ref="A65:A67"/>
    <mergeCell ref="B65:B67"/>
    <mergeCell ref="C65:C67"/>
    <mergeCell ref="D65:D67"/>
    <mergeCell ref="L65:L67"/>
    <mergeCell ref="M65:M67"/>
    <mergeCell ref="N65:N67"/>
    <mergeCell ref="O65:O67"/>
    <mergeCell ref="P65:P67"/>
    <mergeCell ref="N59:N61"/>
    <mergeCell ref="O59:O61"/>
    <mergeCell ref="P59:P61"/>
    <mergeCell ref="A62:A64"/>
    <mergeCell ref="B62:B64"/>
    <mergeCell ref="C62:C64"/>
    <mergeCell ref="D62:D64"/>
    <mergeCell ref="L62:L64"/>
    <mergeCell ref="M62:M64"/>
    <mergeCell ref="N62:N64"/>
    <mergeCell ref="A59:A61"/>
    <mergeCell ref="B59:B61"/>
    <mergeCell ref="C59:C61"/>
    <mergeCell ref="D59:D61"/>
    <mergeCell ref="L59:L61"/>
    <mergeCell ref="M59:M61"/>
    <mergeCell ref="O62:O64"/>
    <mergeCell ref="P62:P64"/>
    <mergeCell ref="P54:P55"/>
    <mergeCell ref="A56:A58"/>
    <mergeCell ref="B56:B58"/>
    <mergeCell ref="C56:C58"/>
    <mergeCell ref="D56:D58"/>
    <mergeCell ref="L56:L58"/>
    <mergeCell ref="M56:M58"/>
    <mergeCell ref="N56:N58"/>
    <mergeCell ref="O56:O58"/>
    <mergeCell ref="P56:P58"/>
    <mergeCell ref="L54:L55"/>
    <mergeCell ref="M54:M55"/>
    <mergeCell ref="N54:N55"/>
    <mergeCell ref="O54:O55"/>
    <mergeCell ref="P51:P53"/>
    <mergeCell ref="O48:O50"/>
    <mergeCell ref="P48:P50"/>
    <mergeCell ref="B51:B53"/>
    <mergeCell ref="C51:C53"/>
    <mergeCell ref="D51:D53"/>
    <mergeCell ref="L51:L53"/>
    <mergeCell ref="M51:M53"/>
    <mergeCell ref="N51:N53"/>
    <mergeCell ref="O51:O53"/>
    <mergeCell ref="B48:B50"/>
    <mergeCell ref="C48:C50"/>
    <mergeCell ref="D48:D50"/>
    <mergeCell ref="L48:L50"/>
    <mergeCell ref="M48:M50"/>
    <mergeCell ref="N48:N50"/>
    <mergeCell ref="B45:B47"/>
    <mergeCell ref="C45:C47"/>
    <mergeCell ref="D45:D47"/>
    <mergeCell ref="L45:L47"/>
    <mergeCell ref="M45:M47"/>
    <mergeCell ref="B42:B44"/>
    <mergeCell ref="C42:C44"/>
    <mergeCell ref="D42:D44"/>
    <mergeCell ref="L42:L44"/>
    <mergeCell ref="M42:M44"/>
    <mergeCell ref="B39:B41"/>
    <mergeCell ref="C39:C41"/>
    <mergeCell ref="D39:D41"/>
    <mergeCell ref="L39:L41"/>
    <mergeCell ref="M39:M41"/>
    <mergeCell ref="N39:N41"/>
    <mergeCell ref="O39:O41"/>
    <mergeCell ref="P39:P41"/>
    <mergeCell ref="B36:B38"/>
    <mergeCell ref="C36:C38"/>
    <mergeCell ref="D36:D38"/>
    <mergeCell ref="L36:L38"/>
    <mergeCell ref="M36:M38"/>
    <mergeCell ref="N36:N38"/>
    <mergeCell ref="N42:N44"/>
    <mergeCell ref="O42:O44"/>
    <mergeCell ref="P42:P44"/>
    <mergeCell ref="N45:N47"/>
    <mergeCell ref="O45:O47"/>
    <mergeCell ref="P45:P47"/>
    <mergeCell ref="O36:O38"/>
    <mergeCell ref="P36:P38"/>
    <mergeCell ref="N30:N32"/>
    <mergeCell ref="O30:O32"/>
    <mergeCell ref="P30:P32"/>
    <mergeCell ref="N33:N35"/>
    <mergeCell ref="O33:O35"/>
    <mergeCell ref="P33:P35"/>
    <mergeCell ref="A27:A29"/>
    <mergeCell ref="B27:B29"/>
    <mergeCell ref="C27:C29"/>
    <mergeCell ref="D27:D29"/>
    <mergeCell ref="L27:L29"/>
    <mergeCell ref="M27:M29"/>
    <mergeCell ref="N27:N29"/>
    <mergeCell ref="O27:O29"/>
    <mergeCell ref="P27:P29"/>
    <mergeCell ref="B33:B35"/>
    <mergeCell ref="C33:C35"/>
    <mergeCell ref="D33:D35"/>
    <mergeCell ref="L33:L35"/>
    <mergeCell ref="M33:M35"/>
    <mergeCell ref="B30:B32"/>
    <mergeCell ref="C30:C32"/>
    <mergeCell ref="D30:D32"/>
    <mergeCell ref="L30:L32"/>
    <mergeCell ref="M30:M32"/>
    <mergeCell ref="N21:N23"/>
    <mergeCell ref="O21:O23"/>
    <mergeCell ref="P21:P23"/>
    <mergeCell ref="B24:B26"/>
    <mergeCell ref="C24:C26"/>
    <mergeCell ref="D24:D26"/>
    <mergeCell ref="L24:L26"/>
    <mergeCell ref="M24:M26"/>
    <mergeCell ref="N24:N26"/>
    <mergeCell ref="B21:B23"/>
    <mergeCell ref="C21:C23"/>
    <mergeCell ref="D21:D23"/>
    <mergeCell ref="L21:L23"/>
    <mergeCell ref="M21:M23"/>
    <mergeCell ref="O24:O26"/>
    <mergeCell ref="P24:P26"/>
    <mergeCell ref="M15:M17"/>
    <mergeCell ref="N15:N17"/>
    <mergeCell ref="O15:O17"/>
    <mergeCell ref="P15:P17"/>
    <mergeCell ref="B18:B20"/>
    <mergeCell ref="C18:C20"/>
    <mergeCell ref="D18:D20"/>
    <mergeCell ref="L18:L20"/>
    <mergeCell ref="M18:M20"/>
    <mergeCell ref="N18:N20"/>
    <mergeCell ref="O18:O20"/>
    <mergeCell ref="P18:P20"/>
    <mergeCell ref="P9:P11"/>
    <mergeCell ref="E10:E11"/>
    <mergeCell ref="B12:B14"/>
    <mergeCell ref="C12:C14"/>
    <mergeCell ref="D12:D14"/>
    <mergeCell ref="L12:L14"/>
    <mergeCell ref="M12:M14"/>
    <mergeCell ref="N12:N14"/>
    <mergeCell ref="A8:J8"/>
    <mergeCell ref="K8:P8"/>
    <mergeCell ref="A9:A11"/>
    <mergeCell ref="B9:B11"/>
    <mergeCell ref="C9:C11"/>
    <mergeCell ref="D9:D11"/>
    <mergeCell ref="E9:J9"/>
    <mergeCell ref="K9:K11"/>
    <mergeCell ref="L9:O10"/>
    <mergeCell ref="O12:O14"/>
    <mergeCell ref="P12:P14"/>
    <mergeCell ref="A12:A20"/>
    <mergeCell ref="B15:B17"/>
    <mergeCell ref="C15:C17"/>
    <mergeCell ref="D15:D17"/>
    <mergeCell ref="L15:L17"/>
    <mergeCell ref="C4:H4"/>
    <mergeCell ref="C5:H5"/>
    <mergeCell ref="I5:P5"/>
    <mergeCell ref="A1:P1"/>
    <mergeCell ref="C2:H2"/>
    <mergeCell ref="C3:H3"/>
    <mergeCell ref="A2:B2"/>
    <mergeCell ref="A3:B3"/>
    <mergeCell ref="A4:B4"/>
    <mergeCell ref="A5:B5"/>
  </mergeCells>
  <conditionalFormatting sqref="A9:P11">
    <cfRule type="expression" dxfId="51" priority="4">
      <formula>career_stage="HP"</formula>
    </cfRule>
    <cfRule type="expression" dxfId="50" priority="5">
      <formula>career_stage="P"</formula>
    </cfRule>
  </conditionalFormatting>
  <conditionalFormatting sqref="A12:A73">
    <cfRule type="expression" dxfId="49" priority="3">
      <formula>AND(NOT(#REF!),#REF!&gt;1)</formula>
    </cfRule>
  </conditionalFormatting>
  <conditionalFormatting sqref="L12:N73">
    <cfRule type="expression" dxfId="48" priority="2">
      <formula>NOT(#REF!)</formula>
    </cfRule>
  </conditionalFormatting>
  <conditionalFormatting sqref="F12:K73">
    <cfRule type="cellIs" dxfId="47" priority="1" operator="equal">
      <formula>0</formula>
    </cfRule>
  </conditionalFormatting>
  <printOptions horizontalCentered="1"/>
  <pageMargins left="0.5" right="0.5" top="0.7" bottom="0.55000000000000004" header="0" footer="0.23"/>
  <pageSetup paperSize="14" scale="90" fitToHeight="0" orientation="landscape" r:id="rId1"/>
  <headerFooter>
    <oddHeader>&amp;C&amp;"Calibri,Regular"&amp;K000000&amp;G</oddHeader>
    <oddFooter>Page &amp;P of &amp;N</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DB486-FB9B-4F80-98F0-2827E6F3B73B}">
  <sheetPr codeName="PART2">
    <pageSetUpPr fitToPage="1"/>
  </sheetPr>
  <dimension ref="A1:Q87"/>
  <sheetViews>
    <sheetView showGridLines="0" zoomScale="80" zoomScaleNormal="80" zoomScaleSheetLayoutView="100" workbookViewId="0">
      <selection activeCell="C2" sqref="C2:H2"/>
    </sheetView>
  </sheetViews>
  <sheetFormatPr defaultColWidth="9.6640625" defaultRowHeight="14.4"/>
  <cols>
    <col min="1" max="1" width="15.21875" style="14" customWidth="1"/>
    <col min="2" max="2" width="14.6640625" style="14" customWidth="1"/>
    <col min="3" max="3" width="8.21875" style="14" customWidth="1"/>
    <col min="4" max="4" width="8.6640625" style="14" customWidth="1"/>
    <col min="5" max="5" width="11.21875" style="14" customWidth="1"/>
    <col min="6" max="11" width="17.21875" style="14" customWidth="1"/>
    <col min="12" max="15" width="5.33203125" style="14" customWidth="1"/>
    <col min="16" max="16" width="6.44140625" style="14" customWidth="1"/>
    <col min="17" max="16384" width="9.6640625" style="14"/>
  </cols>
  <sheetData>
    <row r="1" spans="1:17" ht="24" customHeight="1" thickBot="1">
      <c r="A1" s="714" t="s">
        <v>1013</v>
      </c>
      <c r="B1" s="715"/>
      <c r="C1" s="715"/>
      <c r="D1" s="715"/>
      <c r="E1" s="715"/>
      <c r="F1" s="715"/>
      <c r="G1" s="715"/>
      <c r="H1" s="715"/>
      <c r="I1" s="715"/>
      <c r="J1" s="715"/>
      <c r="K1" s="715"/>
      <c r="L1" s="715"/>
      <c r="M1" s="715"/>
      <c r="N1" s="715"/>
      <c r="O1" s="715"/>
      <c r="P1" s="716"/>
      <c r="Q1" s="220" t="s">
        <v>817</v>
      </c>
    </row>
    <row r="2" spans="1:17" ht="24" customHeight="1">
      <c r="A2" s="810" t="s">
        <v>128</v>
      </c>
      <c r="B2" s="811"/>
      <c r="C2" s="812" t="str">
        <f>'Encoding Part 1'!C7</f>
        <v>EJONIE G. DEGOLLACION</v>
      </c>
      <c r="D2" s="812"/>
      <c r="E2" s="812"/>
      <c r="F2" s="812"/>
      <c r="G2" s="812"/>
      <c r="H2" s="812"/>
      <c r="I2" s="282" t="s">
        <v>129</v>
      </c>
      <c r="J2" s="813" t="str">
        <f>'Encoding Part 1'!B33</f>
        <v>GLORIFEL B. SAREÑO</v>
      </c>
      <c r="K2" s="814"/>
      <c r="L2" s="814"/>
      <c r="M2" s="814"/>
      <c r="N2" s="814"/>
      <c r="O2" s="814"/>
      <c r="P2" s="815"/>
    </row>
    <row r="3" spans="1:17" ht="24" customHeight="1">
      <c r="A3" s="720" t="s">
        <v>0</v>
      </c>
      <c r="B3" s="721"/>
      <c r="C3" s="709" t="str">
        <f>'Encoding Part 1'!C8</f>
        <v>Teacher III</v>
      </c>
      <c r="D3" s="709"/>
      <c r="E3" s="709"/>
      <c r="F3" s="709"/>
      <c r="G3" s="709"/>
      <c r="H3" s="709"/>
      <c r="I3" s="222" t="s">
        <v>0</v>
      </c>
      <c r="J3" s="784" t="str">
        <f>'Encoding Part 1'!H8</f>
        <v>Master Teacher I</v>
      </c>
      <c r="K3" s="785"/>
      <c r="L3" s="785"/>
      <c r="M3" s="785"/>
      <c r="N3" s="785"/>
      <c r="O3" s="785"/>
      <c r="P3" s="786"/>
    </row>
    <row r="4" spans="1:17" ht="24" customHeight="1">
      <c r="A4" s="720" t="s">
        <v>1018</v>
      </c>
      <c r="B4" s="721"/>
      <c r="C4" s="709" t="str">
        <f>'Encoding Part 1'!C9</f>
        <v xml:space="preserve">Lapu-Lapu City </v>
      </c>
      <c r="D4" s="709"/>
      <c r="E4" s="709"/>
      <c r="F4" s="709"/>
      <c r="G4" s="709"/>
      <c r="H4" s="709"/>
      <c r="I4" s="222" t="s">
        <v>1</v>
      </c>
      <c r="J4" s="787">
        <f>'Encoding Part 1'!H9</f>
        <v>46112</v>
      </c>
      <c r="K4" s="788"/>
      <c r="L4" s="788"/>
      <c r="M4" s="788"/>
      <c r="N4" s="788"/>
      <c r="O4" s="788"/>
      <c r="P4" s="789"/>
    </row>
    <row r="5" spans="1:17" ht="24" customHeight="1" thickBot="1">
      <c r="A5" s="722" t="s">
        <v>130</v>
      </c>
      <c r="B5" s="723"/>
      <c r="C5" s="710" t="str">
        <f>'Encoding Part 1'!C10</f>
        <v>SY 2025-2026</v>
      </c>
      <c r="D5" s="711"/>
      <c r="E5" s="711"/>
      <c r="F5" s="711"/>
      <c r="G5" s="711"/>
      <c r="H5" s="711"/>
      <c r="I5" s="712"/>
      <c r="J5" s="712"/>
      <c r="K5" s="712"/>
      <c r="L5" s="712"/>
      <c r="M5" s="712"/>
      <c r="N5" s="712"/>
      <c r="O5" s="712"/>
      <c r="P5" s="713"/>
    </row>
    <row r="6" spans="1:17" ht="10.050000000000001" customHeight="1">
      <c r="A6" s="223"/>
      <c r="B6" s="223"/>
      <c r="C6" s="223"/>
      <c r="D6" s="223"/>
      <c r="E6" s="223"/>
      <c r="F6" s="223"/>
      <c r="G6" s="223"/>
      <c r="H6" s="223"/>
      <c r="I6" s="224"/>
      <c r="J6" s="224"/>
      <c r="K6" s="224"/>
      <c r="L6" s="224"/>
      <c r="M6" s="224"/>
      <c r="N6" s="224"/>
      <c r="O6" s="224"/>
      <c r="P6" s="224"/>
    </row>
    <row r="7" spans="1:17" ht="10.050000000000001" customHeight="1" thickBot="1">
      <c r="A7" s="225"/>
      <c r="B7" s="225"/>
      <c r="C7" s="225"/>
      <c r="D7" s="225"/>
      <c r="E7" s="225"/>
      <c r="F7" s="225"/>
      <c r="G7" s="225"/>
      <c r="H7" s="225"/>
      <c r="I7" s="225"/>
      <c r="J7" s="225"/>
      <c r="K7" s="225"/>
      <c r="L7" s="225"/>
      <c r="M7" s="225"/>
      <c r="N7" s="225"/>
      <c r="O7" s="225"/>
      <c r="P7" s="225"/>
    </row>
    <row r="8" spans="1:17" ht="19.5" customHeight="1" thickBot="1">
      <c r="A8" s="741"/>
      <c r="B8" s="741"/>
      <c r="C8" s="741"/>
      <c r="D8" s="741"/>
      <c r="E8" s="741"/>
      <c r="F8" s="741"/>
      <c r="G8" s="741"/>
      <c r="H8" s="741"/>
      <c r="I8" s="741"/>
      <c r="J8" s="742"/>
      <c r="K8" s="740" t="s">
        <v>1031</v>
      </c>
      <c r="L8" s="741"/>
      <c r="M8" s="741"/>
      <c r="N8" s="741"/>
      <c r="O8" s="741"/>
      <c r="P8" s="742"/>
    </row>
    <row r="9" spans="1:17" ht="15" thickBot="1">
      <c r="A9" s="724" t="s">
        <v>1032</v>
      </c>
      <c r="B9" s="724" t="s">
        <v>3</v>
      </c>
      <c r="C9" s="724" t="s">
        <v>4</v>
      </c>
      <c r="D9" s="724" t="s">
        <v>1033</v>
      </c>
      <c r="E9" s="743" t="s">
        <v>1034</v>
      </c>
      <c r="F9" s="743"/>
      <c r="G9" s="743"/>
      <c r="H9" s="743"/>
      <c r="I9" s="743"/>
      <c r="J9" s="743"/>
      <c r="K9" s="724" t="s">
        <v>1035</v>
      </c>
      <c r="L9" s="744" t="s">
        <v>5</v>
      </c>
      <c r="M9" s="744"/>
      <c r="N9" s="744"/>
      <c r="O9" s="745"/>
      <c r="P9" s="724" t="s">
        <v>135</v>
      </c>
      <c r="Q9" s="226"/>
    </row>
    <row r="10" spans="1:17" ht="26.25" customHeight="1" thickBot="1">
      <c r="A10" s="725"/>
      <c r="B10" s="725"/>
      <c r="C10" s="725"/>
      <c r="D10" s="725"/>
      <c r="E10" s="724" t="s">
        <v>1036</v>
      </c>
      <c r="F10" s="227" t="s">
        <v>87</v>
      </c>
      <c r="G10" s="227" t="s">
        <v>85</v>
      </c>
      <c r="H10" s="227" t="s">
        <v>83</v>
      </c>
      <c r="I10" s="227" t="s">
        <v>81</v>
      </c>
      <c r="J10" s="227" t="s">
        <v>79</v>
      </c>
      <c r="K10" s="725"/>
      <c r="L10" s="746"/>
      <c r="M10" s="746"/>
      <c r="N10" s="746"/>
      <c r="O10" s="747"/>
      <c r="P10" s="725"/>
      <c r="Q10" s="226"/>
    </row>
    <row r="11" spans="1:17" ht="15" thickBot="1">
      <c r="A11" s="726"/>
      <c r="B11" s="726"/>
      <c r="C11" s="726"/>
      <c r="D11" s="726"/>
      <c r="E11" s="726"/>
      <c r="F11" s="229">
        <v>5</v>
      </c>
      <c r="G11" s="229">
        <v>4</v>
      </c>
      <c r="H11" s="229">
        <v>3</v>
      </c>
      <c r="I11" s="229">
        <v>2</v>
      </c>
      <c r="J11" s="229">
        <v>1</v>
      </c>
      <c r="K11" s="726"/>
      <c r="L11" s="228" t="s">
        <v>137</v>
      </c>
      <c r="M11" s="228" t="s">
        <v>138</v>
      </c>
      <c r="N11" s="228" t="s">
        <v>139</v>
      </c>
      <c r="O11" s="228" t="s">
        <v>140</v>
      </c>
      <c r="P11" s="726"/>
      <c r="Q11" s="226"/>
    </row>
    <row r="12" spans="1:17" ht="81.45" customHeight="1">
      <c r="A12" s="754" t="s">
        <v>12</v>
      </c>
      <c r="B12" s="727" t="s">
        <v>13</v>
      </c>
      <c r="C12" s="730" t="s">
        <v>11</v>
      </c>
      <c r="D12" s="733">
        <v>6.7857142859999997E-2</v>
      </c>
      <c r="E12" s="230" t="s">
        <v>6</v>
      </c>
      <c r="F12" s="231" t="s">
        <v>1127</v>
      </c>
      <c r="G12" s="231" t="s">
        <v>1047</v>
      </c>
      <c r="H12" s="231" t="s">
        <v>1048</v>
      </c>
      <c r="I12" s="231" t="s">
        <v>1049</v>
      </c>
      <c r="J12" s="231" t="s">
        <v>1050</v>
      </c>
      <c r="K12" s="232" t="str" cm="1">
        <f t="array" aca="1" ref="K12" ca="1">IFERROR(INDEX(F12:J12,6-L12),"")</f>
        <v>Demonstrated Level 7 in the PPST Indicator as shown in the COT rating sheet / interobserver agreement form presented</v>
      </c>
      <c r="L12" s="734">
        <f ca="1">'Encoding Part 1'!I14</f>
        <v>5</v>
      </c>
      <c r="M12" s="737">
        <f>'Encoding Part 1'!K14</f>
        <v>0</v>
      </c>
      <c r="N12" s="737">
        <f>'Encoding Part 1'!L14</f>
        <v>0</v>
      </c>
      <c r="O12" s="748">
        <f ca="1">'Encoding Part 1'!M14</f>
        <v>5</v>
      </c>
      <c r="P12" s="751">
        <f ca="1">'Encoding Part 1'!N14</f>
        <v>0.33928999999999998</v>
      </c>
      <c r="Q12" s="226"/>
    </row>
    <row r="13" spans="1:17">
      <c r="A13" s="754"/>
      <c r="B13" s="728"/>
      <c r="C13" s="731"/>
      <c r="D13" s="731"/>
      <c r="E13" s="233" t="s">
        <v>7</v>
      </c>
      <c r="F13" s="234"/>
      <c r="G13" s="235"/>
      <c r="H13" s="235"/>
      <c r="I13" s="235"/>
      <c r="J13" s="235"/>
      <c r="K13" s="236" t="str" cm="1">
        <f t="array" ref="K13">IFERROR(INDEX(F13:J13,6-M12),"")</f>
        <v/>
      </c>
      <c r="L13" s="735"/>
      <c r="M13" s="738"/>
      <c r="N13" s="738"/>
      <c r="O13" s="749"/>
      <c r="P13" s="752"/>
      <c r="Q13" s="226"/>
    </row>
    <row r="14" spans="1:17" ht="15" thickBot="1">
      <c r="A14" s="754"/>
      <c r="B14" s="729"/>
      <c r="C14" s="732"/>
      <c r="D14" s="732"/>
      <c r="E14" s="237" t="s">
        <v>2</v>
      </c>
      <c r="F14" s="238"/>
      <c r="G14" s="239"/>
      <c r="H14" s="239"/>
      <c r="I14" s="239"/>
      <c r="J14" s="239"/>
      <c r="K14" s="240" t="str" cm="1">
        <f t="array" ref="K14">IFERROR(INDEX(F14:J14,6-N12),"")</f>
        <v/>
      </c>
      <c r="L14" s="736"/>
      <c r="M14" s="739"/>
      <c r="N14" s="739"/>
      <c r="O14" s="750"/>
      <c r="P14" s="753"/>
      <c r="Q14" s="226"/>
    </row>
    <row r="15" spans="1:17" ht="108" customHeight="1">
      <c r="A15" s="754"/>
      <c r="B15" s="756" t="s">
        <v>14</v>
      </c>
      <c r="C15" s="730" t="s">
        <v>11</v>
      </c>
      <c r="D15" s="733">
        <v>6.7857142859999997E-2</v>
      </c>
      <c r="E15" s="230" t="s">
        <v>6</v>
      </c>
      <c r="F15" s="231" t="s">
        <v>1127</v>
      </c>
      <c r="G15" s="231" t="s">
        <v>1047</v>
      </c>
      <c r="H15" s="231" t="s">
        <v>1048</v>
      </c>
      <c r="I15" s="231" t="s">
        <v>1049</v>
      </c>
      <c r="J15" s="231" t="s">
        <v>1050</v>
      </c>
      <c r="K15" s="232" t="str" cm="1">
        <f t="array" aca="1" ref="K15" ca="1">IFERROR(INDEX(F15:J15,6-L15),"")</f>
        <v>Demonstrated Level 7 in the PPST Indicator as shown in the COT rating sheet / interobserver agreement form presented</v>
      </c>
      <c r="L15" s="734">
        <f ca="1">'Encoding Part 1'!I15</f>
        <v>5</v>
      </c>
      <c r="M15" s="737">
        <f>'Encoding Part 1'!K15</f>
        <v>0</v>
      </c>
      <c r="N15" s="737">
        <f>'Encoding Part 1'!L15</f>
        <v>0</v>
      </c>
      <c r="O15" s="748">
        <f ca="1">'Encoding Part 1'!M15</f>
        <v>5</v>
      </c>
      <c r="P15" s="751">
        <f ca="1">'Encoding Part 1'!N15</f>
        <v>0.33928999999999998</v>
      </c>
      <c r="Q15" s="226"/>
    </row>
    <row r="16" spans="1:17">
      <c r="A16" s="754"/>
      <c r="B16" s="757"/>
      <c r="C16" s="731"/>
      <c r="D16" s="731"/>
      <c r="E16" s="233" t="s">
        <v>7</v>
      </c>
      <c r="F16" s="234"/>
      <c r="G16" s="235"/>
      <c r="H16" s="235"/>
      <c r="I16" s="235"/>
      <c r="J16" s="235"/>
      <c r="K16" s="236" t="str" cm="1">
        <f t="array" ref="K16">IFERROR(INDEX(F16:J16,6-M15),"")</f>
        <v/>
      </c>
      <c r="L16" s="735"/>
      <c r="M16" s="738"/>
      <c r="N16" s="738"/>
      <c r="O16" s="749"/>
      <c r="P16" s="752"/>
      <c r="Q16" s="226"/>
    </row>
    <row r="17" spans="1:17" ht="15" thickBot="1">
      <c r="A17" s="754"/>
      <c r="B17" s="758"/>
      <c r="C17" s="732"/>
      <c r="D17" s="732"/>
      <c r="E17" s="237" t="s">
        <v>2</v>
      </c>
      <c r="F17" s="238"/>
      <c r="G17" s="239"/>
      <c r="H17" s="239"/>
      <c r="I17" s="239"/>
      <c r="J17" s="239"/>
      <c r="K17" s="239" t="str" cm="1">
        <f t="array" ref="K17">IFERROR(INDEX(F17:J17,6-N15),"")</f>
        <v/>
      </c>
      <c r="L17" s="736"/>
      <c r="M17" s="739"/>
      <c r="N17" s="739"/>
      <c r="O17" s="750"/>
      <c r="P17" s="753"/>
      <c r="Q17" s="226"/>
    </row>
    <row r="18" spans="1:17" ht="102.45" customHeight="1">
      <c r="A18" s="754"/>
      <c r="B18" s="727" t="s">
        <v>15</v>
      </c>
      <c r="C18" s="730" t="s">
        <v>11</v>
      </c>
      <c r="D18" s="733">
        <v>6.7857142859999997E-2</v>
      </c>
      <c r="E18" s="230" t="s">
        <v>6</v>
      </c>
      <c r="F18" s="231" t="s">
        <v>1127</v>
      </c>
      <c r="G18" s="231" t="s">
        <v>1047</v>
      </c>
      <c r="H18" s="231" t="s">
        <v>1048</v>
      </c>
      <c r="I18" s="231" t="s">
        <v>1049</v>
      </c>
      <c r="J18" s="231" t="s">
        <v>1050</v>
      </c>
      <c r="K18" s="232" t="str" cm="1">
        <f t="array" aca="1" ref="K18" ca="1">IFERROR(INDEX(F18:J18,6-L18),"")</f>
        <v>Demonstrated Level 7 in the PPST Indicator as shown in the COT rating sheet / interobserver agreement form presented</v>
      </c>
      <c r="L18" s="734">
        <f ca="1">'Encoding Part 1'!I16</f>
        <v>5</v>
      </c>
      <c r="M18" s="737">
        <f>'Encoding Part 1'!K16</f>
        <v>0</v>
      </c>
      <c r="N18" s="737">
        <f>'Encoding Part 1'!L16</f>
        <v>0</v>
      </c>
      <c r="O18" s="748">
        <f ca="1">'Encoding Part 1'!M16</f>
        <v>5</v>
      </c>
      <c r="P18" s="751">
        <f ca="1">'Encoding Part 1'!N16</f>
        <v>0.33928999999999998</v>
      </c>
      <c r="Q18" s="226"/>
    </row>
    <row r="19" spans="1:17" ht="15.45" customHeight="1">
      <c r="A19" s="754"/>
      <c r="B19" s="728"/>
      <c r="C19" s="731"/>
      <c r="D19" s="731"/>
      <c r="E19" s="233" t="s">
        <v>7</v>
      </c>
      <c r="F19" s="234"/>
      <c r="G19" s="235"/>
      <c r="H19" s="235"/>
      <c r="I19" s="235"/>
      <c r="J19" s="235"/>
      <c r="K19" s="236" t="str" cm="1">
        <f t="array" ref="K19">IFERROR(INDEX(F19:J19,6-M18),"")</f>
        <v/>
      </c>
      <c r="L19" s="735"/>
      <c r="M19" s="738"/>
      <c r="N19" s="738"/>
      <c r="O19" s="749"/>
      <c r="P19" s="752"/>
      <c r="Q19" s="226"/>
    </row>
    <row r="20" spans="1:17" ht="15.45" customHeight="1" thickBot="1">
      <c r="A20" s="755"/>
      <c r="B20" s="729"/>
      <c r="C20" s="732"/>
      <c r="D20" s="732"/>
      <c r="E20" s="237" t="s">
        <v>2</v>
      </c>
      <c r="F20" s="238"/>
      <c r="G20" s="239"/>
      <c r="H20" s="239"/>
      <c r="I20" s="239"/>
      <c r="J20" s="239"/>
      <c r="K20" s="239" t="str" cm="1">
        <f t="array" ref="K20">IFERROR(INDEX(F20:J20,6-N18),"")</f>
        <v/>
      </c>
      <c r="L20" s="736"/>
      <c r="M20" s="739"/>
      <c r="N20" s="739"/>
      <c r="O20" s="750"/>
      <c r="P20" s="753"/>
      <c r="Q20" s="226"/>
    </row>
    <row r="21" spans="1:17" ht="103.95" customHeight="1">
      <c r="A21" s="759" t="s">
        <v>16</v>
      </c>
      <c r="B21" s="756" t="s">
        <v>17</v>
      </c>
      <c r="C21" s="730" t="s">
        <v>11</v>
      </c>
      <c r="D21" s="733">
        <v>6.7857142859999997E-2</v>
      </c>
      <c r="E21" s="230" t="s">
        <v>6</v>
      </c>
      <c r="F21" s="231" t="s">
        <v>1127</v>
      </c>
      <c r="G21" s="231" t="s">
        <v>1047</v>
      </c>
      <c r="H21" s="231" t="s">
        <v>1048</v>
      </c>
      <c r="I21" s="231" t="s">
        <v>1049</v>
      </c>
      <c r="J21" s="231" t="s">
        <v>1050</v>
      </c>
      <c r="K21" s="232" t="str" cm="1">
        <f t="array" aca="1" ref="K21" ca="1">IFERROR(INDEX(F21:J21,6-L21),"")</f>
        <v>Demonstrated Level 7 in the PPST Indicator as shown in the COT rating sheet / interobserver agreement form presented</v>
      </c>
      <c r="L21" s="734">
        <f ca="1">'Encoding Part 1'!I17</f>
        <v>5</v>
      </c>
      <c r="M21" s="737">
        <f>'Encoding Part 1'!K17</f>
        <v>0</v>
      </c>
      <c r="N21" s="737">
        <f>'Encoding Part 1'!L17</f>
        <v>0</v>
      </c>
      <c r="O21" s="748">
        <f ca="1">'Encoding Part 1'!M17</f>
        <v>5</v>
      </c>
      <c r="P21" s="751">
        <f ca="1">'Encoding Part 1'!N17</f>
        <v>0.33928999999999998</v>
      </c>
      <c r="Q21" s="226"/>
    </row>
    <row r="22" spans="1:17">
      <c r="A22" s="754"/>
      <c r="B22" s="757"/>
      <c r="C22" s="731"/>
      <c r="D22" s="731"/>
      <c r="E22" s="233" t="s">
        <v>7</v>
      </c>
      <c r="F22" s="234"/>
      <c r="G22" s="235"/>
      <c r="H22" s="235"/>
      <c r="I22" s="235"/>
      <c r="J22" s="235"/>
      <c r="K22" s="236" t="str" cm="1">
        <f t="array" ref="K22">IFERROR(INDEX(F22:J22,6-M21),"")</f>
        <v/>
      </c>
      <c r="L22" s="735"/>
      <c r="M22" s="738"/>
      <c r="N22" s="738"/>
      <c r="O22" s="749"/>
      <c r="P22" s="752"/>
      <c r="Q22" s="226"/>
    </row>
    <row r="23" spans="1:17" ht="15" thickBot="1">
      <c r="A23" s="754"/>
      <c r="B23" s="758"/>
      <c r="C23" s="732"/>
      <c r="D23" s="732"/>
      <c r="E23" s="237" t="s">
        <v>2</v>
      </c>
      <c r="F23" s="241"/>
      <c r="G23" s="239"/>
      <c r="H23" s="239"/>
      <c r="I23" s="239"/>
      <c r="J23" s="239"/>
      <c r="K23" s="239" t="str" cm="1">
        <f t="array" ref="K23">IFERROR(INDEX(F23:J23,6-N21),"")</f>
        <v/>
      </c>
      <c r="L23" s="736"/>
      <c r="M23" s="739"/>
      <c r="N23" s="739"/>
      <c r="O23" s="750"/>
      <c r="P23" s="753"/>
      <c r="Q23" s="226"/>
    </row>
    <row r="24" spans="1:17" ht="106.05" customHeight="1">
      <c r="A24" s="754"/>
      <c r="B24" s="727" t="s">
        <v>18</v>
      </c>
      <c r="C24" s="730" t="s">
        <v>11</v>
      </c>
      <c r="D24" s="733">
        <v>6.7857142859999997E-2</v>
      </c>
      <c r="E24" s="230" t="s">
        <v>6</v>
      </c>
      <c r="F24" s="231" t="s">
        <v>1127</v>
      </c>
      <c r="G24" s="231" t="s">
        <v>1047</v>
      </c>
      <c r="H24" s="231" t="s">
        <v>1048</v>
      </c>
      <c r="I24" s="231" t="s">
        <v>1049</v>
      </c>
      <c r="J24" s="231" t="s">
        <v>1050</v>
      </c>
      <c r="K24" s="232" t="str" cm="1">
        <f t="array" aca="1" ref="K24" ca="1">IFERROR(INDEX(F24:J24,6-L24),"")</f>
        <v>Demonstrated Level 7 in the PPST Indicator as shown in the COT rating sheet / interobserver agreement form presented</v>
      </c>
      <c r="L24" s="734">
        <f ca="1">'Encoding Part 1'!I18</f>
        <v>5</v>
      </c>
      <c r="M24" s="737">
        <f>'Encoding Part 1'!K18</f>
        <v>0</v>
      </c>
      <c r="N24" s="737">
        <f>'Encoding Part 1'!L18</f>
        <v>0</v>
      </c>
      <c r="O24" s="748">
        <f ca="1">'Encoding Part 1'!M18</f>
        <v>5</v>
      </c>
      <c r="P24" s="751">
        <f ca="1">'Encoding Part 1'!N18</f>
        <v>0.33928999999999998</v>
      </c>
      <c r="Q24" s="226"/>
    </row>
    <row r="25" spans="1:17">
      <c r="A25" s="754"/>
      <c r="B25" s="728"/>
      <c r="C25" s="731"/>
      <c r="D25" s="731"/>
      <c r="E25" s="233" t="s">
        <v>7</v>
      </c>
      <c r="F25" s="234"/>
      <c r="G25" s="235"/>
      <c r="H25" s="235"/>
      <c r="I25" s="235"/>
      <c r="J25" s="235"/>
      <c r="K25" s="236" t="str" cm="1">
        <f t="array" ref="K25">IFERROR(INDEX(F25:J25,6-M24),"")</f>
        <v/>
      </c>
      <c r="L25" s="735"/>
      <c r="M25" s="738"/>
      <c r="N25" s="738"/>
      <c r="O25" s="749"/>
      <c r="P25" s="752"/>
      <c r="Q25" s="226"/>
    </row>
    <row r="26" spans="1:17" ht="15" thickBot="1">
      <c r="A26" s="755"/>
      <c r="B26" s="729"/>
      <c r="C26" s="732"/>
      <c r="D26" s="732"/>
      <c r="E26" s="237" t="s">
        <v>2</v>
      </c>
      <c r="F26" s="238"/>
      <c r="G26" s="239"/>
      <c r="H26" s="239"/>
      <c r="I26" s="239"/>
      <c r="J26" s="239"/>
      <c r="K26" s="239" t="str" cm="1">
        <f t="array" ref="K26">IFERROR(INDEX(F26:J26,6-N24),"")</f>
        <v/>
      </c>
      <c r="L26" s="736"/>
      <c r="M26" s="739"/>
      <c r="N26" s="739"/>
      <c r="O26" s="750"/>
      <c r="P26" s="753"/>
      <c r="Q26" s="226"/>
    </row>
    <row r="27" spans="1:17" ht="109.05" customHeight="1">
      <c r="A27" s="759" t="s">
        <v>19</v>
      </c>
      <c r="B27" s="756" t="s">
        <v>20</v>
      </c>
      <c r="C27" s="730" t="s">
        <v>11</v>
      </c>
      <c r="D27" s="733">
        <v>6.7857142859999997E-2</v>
      </c>
      <c r="E27" s="230" t="s">
        <v>6</v>
      </c>
      <c r="F27" s="231" t="s">
        <v>1127</v>
      </c>
      <c r="G27" s="231" t="s">
        <v>1047</v>
      </c>
      <c r="H27" s="231" t="s">
        <v>1048</v>
      </c>
      <c r="I27" s="231" t="s">
        <v>1049</v>
      </c>
      <c r="J27" s="231" t="s">
        <v>1050</v>
      </c>
      <c r="K27" s="232" t="str" cm="1">
        <f t="array" aca="1" ref="K27" ca="1">IFERROR(INDEX(F27:J27,6-L27),"")</f>
        <v>Demonstrated Level 6 in the PPST Indicator as shown in the COT rating sheet / interobserver agreement form presented</v>
      </c>
      <c r="L27" s="734">
        <f ca="1">'Encoding Part 1'!I19</f>
        <v>4</v>
      </c>
      <c r="M27" s="737">
        <f>'Encoding Part 1'!K19</f>
        <v>0</v>
      </c>
      <c r="N27" s="737">
        <f>'Encoding Part 1'!L19</f>
        <v>0</v>
      </c>
      <c r="O27" s="748">
        <f ca="1">'Encoding Part 1'!M19</f>
        <v>4</v>
      </c>
      <c r="P27" s="751">
        <f ca="1">'Encoding Part 1'!N19</f>
        <v>0.27143</v>
      </c>
      <c r="Q27" s="226"/>
    </row>
    <row r="28" spans="1:17" ht="15.45" customHeight="1">
      <c r="A28" s="754"/>
      <c r="B28" s="757"/>
      <c r="C28" s="731"/>
      <c r="D28" s="731"/>
      <c r="E28" s="233" t="s">
        <v>7</v>
      </c>
      <c r="F28" s="234"/>
      <c r="G28" s="235"/>
      <c r="H28" s="235"/>
      <c r="I28" s="235"/>
      <c r="J28" s="235"/>
      <c r="K28" s="236" t="str" cm="1">
        <f t="array" ref="K28">IFERROR(INDEX(F28:J28,6-M27),"")</f>
        <v/>
      </c>
      <c r="L28" s="735"/>
      <c r="M28" s="738"/>
      <c r="N28" s="738"/>
      <c r="O28" s="749"/>
      <c r="P28" s="752"/>
      <c r="Q28" s="226"/>
    </row>
    <row r="29" spans="1:17" ht="15.45" customHeight="1" thickBot="1">
      <c r="A29" s="755"/>
      <c r="B29" s="758"/>
      <c r="C29" s="732"/>
      <c r="D29" s="732"/>
      <c r="E29" s="237" t="s">
        <v>2</v>
      </c>
      <c r="F29" s="238"/>
      <c r="G29" s="239"/>
      <c r="H29" s="239"/>
      <c r="I29" s="239"/>
      <c r="J29" s="239"/>
      <c r="K29" s="239" t="str" cm="1">
        <f t="array" ref="K29">IFERROR(INDEX(F29:J29,6-N27),"")</f>
        <v/>
      </c>
      <c r="L29" s="736"/>
      <c r="M29" s="739"/>
      <c r="N29" s="739"/>
      <c r="O29" s="750"/>
      <c r="P29" s="753"/>
      <c r="Q29" s="226"/>
    </row>
    <row r="30" spans="1:17" ht="146.55000000000001" customHeight="1">
      <c r="A30" s="759" t="s">
        <v>21</v>
      </c>
      <c r="B30" s="727" t="s">
        <v>22</v>
      </c>
      <c r="C30" s="730" t="s">
        <v>11</v>
      </c>
      <c r="D30" s="733">
        <v>6.7857142859999997E-2</v>
      </c>
      <c r="E30" s="230" t="s">
        <v>6</v>
      </c>
      <c r="F30" s="231" t="s">
        <v>1127</v>
      </c>
      <c r="G30" s="231" t="s">
        <v>1047</v>
      </c>
      <c r="H30" s="231" t="s">
        <v>1048</v>
      </c>
      <c r="I30" s="231" t="s">
        <v>1049</v>
      </c>
      <c r="J30" s="231" t="s">
        <v>1050</v>
      </c>
      <c r="K30" s="232" t="str" cm="1">
        <f t="array" aca="1" ref="K30" ca="1">IFERROR(INDEX(F30:J30,6-L30),"")</f>
        <v>Demonstrated Level 7 in the PPST Indicator as shown in the COT rating sheet / interobserver agreement form presented</v>
      </c>
      <c r="L30" s="734">
        <f ca="1">'Encoding Part 1'!I20</f>
        <v>5</v>
      </c>
      <c r="M30" s="737">
        <f>'Encoding Part 1'!K20</f>
        <v>0</v>
      </c>
      <c r="N30" s="737">
        <f>'Encoding Part 1'!L20</f>
        <v>0</v>
      </c>
      <c r="O30" s="748">
        <f ca="1">'Encoding Part 1'!M20</f>
        <v>5</v>
      </c>
      <c r="P30" s="751">
        <f ca="1">'Encoding Part 1'!N20</f>
        <v>0.33928999999999998</v>
      </c>
      <c r="Q30" s="226"/>
    </row>
    <row r="31" spans="1:17" ht="15.45" customHeight="1">
      <c r="A31" s="754"/>
      <c r="B31" s="728"/>
      <c r="C31" s="731"/>
      <c r="D31" s="731"/>
      <c r="E31" s="233" t="s">
        <v>7</v>
      </c>
      <c r="F31" s="234"/>
      <c r="G31" s="235"/>
      <c r="H31" s="235"/>
      <c r="I31" s="235"/>
      <c r="J31" s="235"/>
      <c r="K31" s="236" t="str" cm="1">
        <f t="array" ref="K31">IFERROR(INDEX(F31:J31,6-M30),"")</f>
        <v/>
      </c>
      <c r="L31" s="735"/>
      <c r="M31" s="738"/>
      <c r="N31" s="738"/>
      <c r="O31" s="749"/>
      <c r="P31" s="752"/>
      <c r="Q31" s="226"/>
    </row>
    <row r="32" spans="1:17" ht="15.45" customHeight="1" thickBot="1">
      <c r="A32" s="754"/>
      <c r="B32" s="729"/>
      <c r="C32" s="732"/>
      <c r="D32" s="732"/>
      <c r="E32" s="237" t="s">
        <v>2</v>
      </c>
      <c r="F32" s="238"/>
      <c r="G32" s="239"/>
      <c r="H32" s="239"/>
      <c r="I32" s="239"/>
      <c r="J32" s="239"/>
      <c r="K32" s="239" t="str" cm="1">
        <f t="array" ref="K32">IFERROR(INDEX(F32:J32,6-N30),"")</f>
        <v/>
      </c>
      <c r="L32" s="736"/>
      <c r="M32" s="739"/>
      <c r="N32" s="739"/>
      <c r="O32" s="750"/>
      <c r="P32" s="753"/>
      <c r="Q32" s="226"/>
    </row>
    <row r="33" spans="1:17" ht="138">
      <c r="A33" s="754"/>
      <c r="B33" s="727" t="s">
        <v>23</v>
      </c>
      <c r="C33" s="730" t="s">
        <v>11</v>
      </c>
      <c r="D33" s="733">
        <v>6.7857142859999997E-2</v>
      </c>
      <c r="E33" s="230" t="s">
        <v>6</v>
      </c>
      <c r="F33" s="231" t="s">
        <v>1128</v>
      </c>
      <c r="G33" s="231" t="s">
        <v>1129</v>
      </c>
      <c r="H33" s="231" t="s">
        <v>1130</v>
      </c>
      <c r="I33" s="231" t="s">
        <v>1131</v>
      </c>
      <c r="J33" s="231" t="s">
        <v>1094</v>
      </c>
      <c r="K33" s="232" t="str" cm="1">
        <f t="array" ref="K33">IFERROR(INDEX(F33:J33,6-L33),"")</f>
        <v>Planned for the use of teacher and learner feedback obtained from the LAC sessions/ meetings/ other collegial discussions attended to enrich the teaching practice, as evidenced by MOV 4</v>
      </c>
      <c r="L33" s="734">
        <f>'Encoding Part 1'!I21</f>
        <v>5</v>
      </c>
      <c r="M33" s="737">
        <f>'Encoding Part 1'!K21</f>
        <v>0</v>
      </c>
      <c r="N33" s="760">
        <f>'Encoding Part 1'!L21</f>
        <v>4</v>
      </c>
      <c r="O33" s="748">
        <f>'Encoding Part 1'!M21</f>
        <v>4.5</v>
      </c>
      <c r="P33" s="751">
        <f>'Encoding Part 1'!N21</f>
        <v>0.30536000000000002</v>
      </c>
      <c r="Q33" s="226"/>
    </row>
    <row r="34" spans="1:17">
      <c r="A34" s="754"/>
      <c r="B34" s="728"/>
      <c r="C34" s="731"/>
      <c r="D34" s="731"/>
      <c r="E34" s="233" t="s">
        <v>7</v>
      </c>
      <c r="F34" s="234"/>
      <c r="G34" s="235"/>
      <c r="H34" s="235"/>
      <c r="I34" s="235"/>
      <c r="J34" s="235"/>
      <c r="K34" s="236" t="str" cm="1">
        <f t="array" ref="K34">IFERROR(INDEX(F34:J34,6-M33),"")</f>
        <v/>
      </c>
      <c r="L34" s="735"/>
      <c r="M34" s="738"/>
      <c r="N34" s="761"/>
      <c r="O34" s="749"/>
      <c r="P34" s="752"/>
      <c r="Q34" s="226"/>
    </row>
    <row r="35" spans="1:17" ht="83.4" thickBot="1">
      <c r="A35" s="754"/>
      <c r="B35" s="805"/>
      <c r="C35" s="731"/>
      <c r="D35" s="731"/>
      <c r="E35" s="464" t="s">
        <v>2</v>
      </c>
      <c r="F35" s="465" t="s">
        <v>1132</v>
      </c>
      <c r="G35" s="465" t="s">
        <v>1133</v>
      </c>
      <c r="H35" s="465" t="s">
        <v>1134</v>
      </c>
      <c r="I35" s="465" t="s">
        <v>1135</v>
      </c>
      <c r="J35" s="465" t="s">
        <v>1094</v>
      </c>
      <c r="K35" s="466" t="str" cm="1">
        <f t="array" ref="K35">IFERROR(INDEX(F35:J35,6-N33),"")</f>
        <v>Reflected on the use of teacher and learner feedback to enrich teaching practice across 3 quarters</v>
      </c>
      <c r="L35" s="806"/>
      <c r="M35" s="807"/>
      <c r="N35" s="808"/>
      <c r="O35" s="809"/>
      <c r="P35" s="804"/>
      <c r="Q35" s="226"/>
    </row>
    <row r="36" spans="1:17" ht="118.5" customHeight="1">
      <c r="A36" s="754"/>
      <c r="B36" s="756" t="s">
        <v>24</v>
      </c>
      <c r="C36" s="730" t="s">
        <v>11</v>
      </c>
      <c r="D36" s="733">
        <v>6.7857142859999997E-2</v>
      </c>
      <c r="E36" s="230" t="s">
        <v>6</v>
      </c>
      <c r="F36" s="296" t="s">
        <v>1127</v>
      </c>
      <c r="G36" s="296" t="s">
        <v>1047</v>
      </c>
      <c r="H36" s="296" t="s">
        <v>1048</v>
      </c>
      <c r="I36" s="296" t="s">
        <v>1049</v>
      </c>
      <c r="J36" s="296" t="s">
        <v>1050</v>
      </c>
      <c r="K36" s="232" t="str" cm="1">
        <f t="array" aca="1" ref="K36" ca="1">IFERROR(INDEX(F36:J36,6-L36),"")</f>
        <v>Demonstrated Level 7 in the PPST Indicator as shown in the COT rating sheet / interobserver agreement form presented</v>
      </c>
      <c r="L36" s="734">
        <f ca="1">'Encoding Part 1'!I22</f>
        <v>5</v>
      </c>
      <c r="M36" s="737">
        <f>'Encoding Part 1'!K22</f>
        <v>0</v>
      </c>
      <c r="N36" s="737">
        <f>'Encoding Part 1'!L22</f>
        <v>0</v>
      </c>
      <c r="O36" s="748">
        <f ca="1">'Encoding Part 1'!M22</f>
        <v>5</v>
      </c>
      <c r="P36" s="751">
        <f ca="1">'Encoding Part 1'!N22</f>
        <v>0.33928999999999998</v>
      </c>
      <c r="Q36" s="226"/>
    </row>
    <row r="37" spans="1:17">
      <c r="A37" s="754"/>
      <c r="B37" s="757"/>
      <c r="C37" s="731"/>
      <c r="D37" s="731"/>
      <c r="E37" s="233" t="s">
        <v>7</v>
      </c>
      <c r="F37" s="234"/>
      <c r="G37" s="235"/>
      <c r="H37" s="235"/>
      <c r="I37" s="235"/>
      <c r="J37" s="235"/>
      <c r="K37" s="236" t="str" cm="1">
        <f t="array" ref="K37">IFERROR(INDEX(F37:J37,6-M36),"")</f>
        <v/>
      </c>
      <c r="L37" s="735"/>
      <c r="M37" s="738"/>
      <c r="N37" s="738"/>
      <c r="O37" s="749"/>
      <c r="P37" s="752"/>
      <c r="Q37" s="226"/>
    </row>
    <row r="38" spans="1:17" ht="15" thickBot="1">
      <c r="A38" s="754"/>
      <c r="B38" s="758"/>
      <c r="C38" s="732"/>
      <c r="D38" s="732"/>
      <c r="E38" s="237" t="s">
        <v>2</v>
      </c>
      <c r="F38" s="245"/>
      <c r="G38" s="239"/>
      <c r="H38" s="239"/>
      <c r="I38" s="239"/>
      <c r="J38" s="239"/>
      <c r="K38" s="239" t="str" cm="1">
        <f t="array" ref="K38">IFERROR(INDEX(F38:J38,6-N36),"")</f>
        <v/>
      </c>
      <c r="L38" s="736"/>
      <c r="M38" s="739"/>
      <c r="N38" s="739"/>
      <c r="O38" s="750"/>
      <c r="P38" s="753"/>
      <c r="Q38" s="226"/>
    </row>
    <row r="39" spans="1:17" ht="129.44999999999999" customHeight="1">
      <c r="A39" s="754" t="s">
        <v>25</v>
      </c>
      <c r="B39" s="727" t="s">
        <v>124</v>
      </c>
      <c r="C39" s="730" t="s">
        <v>11</v>
      </c>
      <c r="D39" s="733">
        <v>6.7857142859999997E-2</v>
      </c>
      <c r="E39" s="246" t="s">
        <v>6</v>
      </c>
      <c r="F39" s="231" t="s">
        <v>1127</v>
      </c>
      <c r="G39" s="231" t="s">
        <v>1047</v>
      </c>
      <c r="H39" s="231" t="s">
        <v>1048</v>
      </c>
      <c r="I39" s="231" t="s">
        <v>1049</v>
      </c>
      <c r="J39" s="231" t="s">
        <v>1050</v>
      </c>
      <c r="K39" s="232" t="str" cm="1">
        <f t="array" aca="1" ref="K39" ca="1">IFERROR(INDEX(F39:J39,6-L39),"")</f>
        <v>Demonstrated Level 6 in the PPST Indicator as shown in the COT rating sheet / interobserver agreement form presented</v>
      </c>
      <c r="L39" s="734">
        <f ca="1">'Encoding Part 1'!I23</f>
        <v>4</v>
      </c>
      <c r="M39" s="737">
        <f>'Encoding Part 1'!K23</f>
        <v>0</v>
      </c>
      <c r="N39" s="737">
        <f>'Encoding Part 1'!L23</f>
        <v>0</v>
      </c>
      <c r="O39" s="748">
        <f ca="1">'Encoding Part 1'!M23</f>
        <v>4</v>
      </c>
      <c r="P39" s="751">
        <f ca="1">'Encoding Part 1'!N23</f>
        <v>0.27143</v>
      </c>
      <c r="Q39" s="226"/>
    </row>
    <row r="40" spans="1:17">
      <c r="A40" s="754"/>
      <c r="B40" s="728"/>
      <c r="C40" s="731"/>
      <c r="D40" s="731"/>
      <c r="E40" s="247" t="s">
        <v>7</v>
      </c>
      <c r="F40" s="234"/>
      <c r="G40" s="235"/>
      <c r="H40" s="235"/>
      <c r="I40" s="235"/>
      <c r="J40" s="235"/>
      <c r="K40" s="236" t="str" cm="1">
        <f t="array" ref="K40">IFERROR(INDEX(F40:J40,6-M39),"")</f>
        <v/>
      </c>
      <c r="L40" s="735"/>
      <c r="M40" s="738"/>
      <c r="N40" s="738"/>
      <c r="O40" s="749"/>
      <c r="P40" s="752"/>
      <c r="Q40" s="226"/>
    </row>
    <row r="41" spans="1:17" ht="15" thickBot="1">
      <c r="A41" s="754"/>
      <c r="B41" s="729"/>
      <c r="C41" s="732"/>
      <c r="D41" s="732"/>
      <c r="E41" s="248" t="s">
        <v>2</v>
      </c>
      <c r="F41" s="249"/>
      <c r="G41" s="239"/>
      <c r="H41" s="239"/>
      <c r="I41" s="239"/>
      <c r="J41" s="239"/>
      <c r="K41" s="239" t="str" cm="1">
        <f t="array" ref="K41">IFERROR(INDEX(F41:J41,6-N39),"")</f>
        <v/>
      </c>
      <c r="L41" s="736"/>
      <c r="M41" s="739"/>
      <c r="N41" s="739"/>
      <c r="O41" s="750"/>
      <c r="P41" s="753"/>
      <c r="Q41" s="226"/>
    </row>
    <row r="42" spans="1:17" ht="96.6">
      <c r="A42" s="754"/>
      <c r="B42" s="756" t="s">
        <v>26</v>
      </c>
      <c r="C42" s="730" t="s">
        <v>11</v>
      </c>
      <c r="D42" s="733">
        <v>6.7857142859999997E-2</v>
      </c>
      <c r="E42" s="230" t="s">
        <v>6</v>
      </c>
      <c r="F42" s="231" t="s">
        <v>1136</v>
      </c>
      <c r="G42" s="231" t="s">
        <v>1137</v>
      </c>
      <c r="H42" s="231" t="s">
        <v>1138</v>
      </c>
      <c r="I42" s="231" t="s">
        <v>1102</v>
      </c>
      <c r="J42" s="231" t="s">
        <v>1094</v>
      </c>
      <c r="K42" s="232" t="str" cm="1">
        <f t="array" ref="K42">IFERROR(INDEX(F42:J42,6-L42),"")</f>
        <v>Implemented the intervention plan based on learner attainment data, as evidenced by MOV 3</v>
      </c>
      <c r="L42" s="734">
        <f>'Encoding Part 1'!I24</f>
        <v>4</v>
      </c>
      <c r="M42" s="737">
        <f>'Encoding Part 1'!K24</f>
        <v>0</v>
      </c>
      <c r="N42" s="737">
        <f>'Encoding Part 1'!L24</f>
        <v>0</v>
      </c>
      <c r="O42" s="748">
        <f>'Encoding Part 1'!M24</f>
        <v>4</v>
      </c>
      <c r="P42" s="751">
        <f>'Encoding Part 1'!N24</f>
        <v>0.27143</v>
      </c>
      <c r="Q42" s="226"/>
    </row>
    <row r="43" spans="1:17">
      <c r="A43" s="754"/>
      <c r="B43" s="757"/>
      <c r="C43" s="731"/>
      <c r="D43" s="731"/>
      <c r="E43" s="233" t="s">
        <v>7</v>
      </c>
      <c r="F43" s="250"/>
      <c r="G43" s="235"/>
      <c r="H43" s="235"/>
      <c r="I43" s="235"/>
      <c r="J43" s="235"/>
      <c r="K43" s="236" t="str" cm="1">
        <f t="array" ref="K43">IFERROR(INDEX(F43:J43,6-M42),"")</f>
        <v/>
      </c>
      <c r="L43" s="735"/>
      <c r="M43" s="738"/>
      <c r="N43" s="738"/>
      <c r="O43" s="749"/>
      <c r="P43" s="752"/>
      <c r="Q43" s="226"/>
    </row>
    <row r="44" spans="1:17" ht="15" thickBot="1">
      <c r="A44" s="754"/>
      <c r="B44" s="758"/>
      <c r="C44" s="732"/>
      <c r="D44" s="732"/>
      <c r="E44" s="237" t="s">
        <v>2</v>
      </c>
      <c r="F44" s="251"/>
      <c r="G44" s="239"/>
      <c r="H44" s="239"/>
      <c r="I44" s="239"/>
      <c r="J44" s="239"/>
      <c r="K44" s="240" t="str" cm="1">
        <f t="array" ref="K44">IFERROR(INDEX(F44:J44,6-N42),"")</f>
        <v/>
      </c>
      <c r="L44" s="736"/>
      <c r="M44" s="739"/>
      <c r="N44" s="739"/>
      <c r="O44" s="750"/>
      <c r="P44" s="753"/>
      <c r="Q44" s="226"/>
    </row>
    <row r="45" spans="1:17" ht="150.44999999999999" customHeight="1">
      <c r="A45" s="754"/>
      <c r="B45" s="727" t="s">
        <v>27</v>
      </c>
      <c r="C45" s="730" t="s">
        <v>11</v>
      </c>
      <c r="D45" s="733">
        <v>6.7857142859999997E-2</v>
      </c>
      <c r="E45" s="246" t="s">
        <v>6</v>
      </c>
      <c r="F45" s="296" t="s">
        <v>1139</v>
      </c>
      <c r="G45" s="296" t="s">
        <v>1103</v>
      </c>
      <c r="H45" s="296" t="s">
        <v>1105</v>
      </c>
      <c r="I45" s="296" t="s">
        <v>1106</v>
      </c>
      <c r="J45" s="296" t="s">
        <v>1094</v>
      </c>
      <c r="K45" s="232" t="str" cm="1">
        <f t="array" ref="K45">IFERROR(INDEX(F45:J45,6-L45),"")</f>
        <v>Implemented steps to address the identified learners needs, and support progress and achievement based on the communicated information, as shown in the MOV/s submitted</v>
      </c>
      <c r="L45" s="734">
        <f>'Encoding Part 1'!I25</f>
        <v>5</v>
      </c>
      <c r="M45" s="760">
        <f>'Encoding Part 1'!K25</f>
        <v>4</v>
      </c>
      <c r="N45" s="760">
        <f>'Encoding Part 1'!L25</f>
        <v>4</v>
      </c>
      <c r="O45" s="748">
        <f>'Encoding Part 1'!M25</f>
        <v>4.3333000000000004</v>
      </c>
      <c r="P45" s="751">
        <f>'Encoding Part 1'!N25</f>
        <v>0.29404999999999998</v>
      </c>
      <c r="Q45" s="226"/>
    </row>
    <row r="46" spans="1:17" ht="34.5" customHeight="1">
      <c r="A46" s="754"/>
      <c r="B46" s="728"/>
      <c r="C46" s="731"/>
      <c r="D46" s="731"/>
      <c r="E46" s="247" t="s">
        <v>7</v>
      </c>
      <c r="F46" s="231" t="s">
        <v>1107</v>
      </c>
      <c r="G46" s="231" t="s">
        <v>1108</v>
      </c>
      <c r="H46" s="231" t="s">
        <v>1109</v>
      </c>
      <c r="I46" s="231" t="s">
        <v>1110</v>
      </c>
      <c r="J46" s="231" t="s">
        <v>1094</v>
      </c>
      <c r="K46" s="252" t="str" cm="1">
        <f t="array" ref="K46">IFERROR(INDEX(F46:J46,6-M45),"")</f>
        <v>Presented three (3) acceptable MOVs</v>
      </c>
      <c r="L46" s="735"/>
      <c r="M46" s="761"/>
      <c r="N46" s="761"/>
      <c r="O46" s="749"/>
      <c r="P46" s="752"/>
      <c r="Q46" s="226"/>
    </row>
    <row r="47" spans="1:17" ht="96" customHeight="1" thickBot="1">
      <c r="A47" s="754"/>
      <c r="B47" s="729"/>
      <c r="C47" s="732"/>
      <c r="D47" s="732"/>
      <c r="E47" s="248" t="s">
        <v>2</v>
      </c>
      <c r="F47" s="297" t="s">
        <v>1111</v>
      </c>
      <c r="G47" s="297" t="s">
        <v>1140</v>
      </c>
      <c r="H47" s="297" t="s">
        <v>1113</v>
      </c>
      <c r="I47" s="297" t="s">
        <v>1114</v>
      </c>
      <c r="J47" s="297" t="s">
        <v>1094</v>
      </c>
      <c r="K47" s="253" t="str" cm="1">
        <f t="array" ref="K47">IFERROR(INDEX(F47:J47,6-N45),"")</f>
        <v>MOV/s presented showed prompt communication of learners’ needs, progress, and achievement across 43quarters</v>
      </c>
      <c r="L47" s="736"/>
      <c r="M47" s="762"/>
      <c r="N47" s="762"/>
      <c r="O47" s="750"/>
      <c r="P47" s="753"/>
      <c r="Q47" s="226"/>
    </row>
    <row r="48" spans="1:17" ht="145.5" customHeight="1">
      <c r="A48" s="754" t="s">
        <v>28</v>
      </c>
      <c r="B48" s="770" t="s">
        <v>29</v>
      </c>
      <c r="C48" s="766" t="s">
        <v>11</v>
      </c>
      <c r="D48" s="767">
        <v>6.7857142859999997E-2</v>
      </c>
      <c r="E48" s="462" t="s">
        <v>6</v>
      </c>
      <c r="F48" s="463" t="s">
        <v>1141</v>
      </c>
      <c r="G48" s="463" t="s">
        <v>1142</v>
      </c>
      <c r="H48" s="463" t="s">
        <v>1116</v>
      </c>
      <c r="I48" s="463" t="s">
        <v>1117</v>
      </c>
      <c r="J48" s="463" t="s">
        <v>1094</v>
      </c>
      <c r="K48" s="289" t="str" cm="1">
        <f t="array" ref="K48">IFERROR(INDEX(F48:J48,6-L48),"")</f>
        <v>Demonstrated a clear, theoryinformed learnercentered philosophy and justified how it shaped the design of instructional materials, with strong alignment shown through specific, reflective annotations.</v>
      </c>
      <c r="L48" s="768">
        <f>'Encoding Part 1'!I26</f>
        <v>4</v>
      </c>
      <c r="M48" s="769">
        <f>'Encoding Part 1'!K26</f>
        <v>0</v>
      </c>
      <c r="N48" s="769">
        <f>'Encoding Part 1'!L26</f>
        <v>0</v>
      </c>
      <c r="O48" s="763">
        <f>'Encoding Part 1'!M26</f>
        <v>4</v>
      </c>
      <c r="P48" s="764">
        <f>'Encoding Part 1'!N26</f>
        <v>0.27143</v>
      </c>
      <c r="Q48" s="226"/>
    </row>
    <row r="49" spans="1:17">
      <c r="A49" s="754"/>
      <c r="B49" s="728"/>
      <c r="C49" s="731"/>
      <c r="D49" s="731"/>
      <c r="E49" s="233" t="s">
        <v>7</v>
      </c>
      <c r="F49" s="255"/>
      <c r="G49" s="235"/>
      <c r="H49" s="235"/>
      <c r="I49" s="235"/>
      <c r="J49" s="235"/>
      <c r="K49" s="236" t="str" cm="1">
        <f t="array" ref="K49">IFERROR(INDEX(F49:J49,6-M48),"")</f>
        <v/>
      </c>
      <c r="L49" s="735"/>
      <c r="M49" s="738"/>
      <c r="N49" s="738"/>
      <c r="O49" s="749"/>
      <c r="P49" s="752"/>
      <c r="Q49" s="226"/>
    </row>
    <row r="50" spans="1:17" ht="15" thickBot="1">
      <c r="A50" s="754"/>
      <c r="B50" s="729"/>
      <c r="C50" s="732"/>
      <c r="D50" s="732"/>
      <c r="E50" s="256" t="s">
        <v>2</v>
      </c>
      <c r="F50" s="257"/>
      <c r="G50" s="239"/>
      <c r="H50" s="239"/>
      <c r="I50" s="239"/>
      <c r="J50" s="239"/>
      <c r="K50" s="239" t="str" cm="1">
        <f t="array" ref="K50">IFERROR(INDEX(F50:J50,6-N48),"")</f>
        <v/>
      </c>
      <c r="L50" s="736"/>
      <c r="M50" s="739"/>
      <c r="N50" s="739"/>
      <c r="O50" s="750"/>
      <c r="P50" s="753"/>
      <c r="Q50" s="226"/>
    </row>
    <row r="51" spans="1:17" ht="96.6">
      <c r="A51" s="754"/>
      <c r="B51" s="727" t="s">
        <v>30</v>
      </c>
      <c r="C51" s="730" t="s">
        <v>11</v>
      </c>
      <c r="D51" s="733">
        <v>6.7857142859999997E-2</v>
      </c>
      <c r="E51" s="230" t="s">
        <v>6</v>
      </c>
      <c r="F51" s="258" t="s">
        <v>1119</v>
      </c>
      <c r="G51" s="232" t="s">
        <v>1120</v>
      </c>
      <c r="H51" s="232" t="s">
        <v>1121</v>
      </c>
      <c r="I51" s="232" t="s">
        <v>1122</v>
      </c>
      <c r="J51" s="259" t="s">
        <v>1094</v>
      </c>
      <c r="K51" s="232" t="str" cm="1">
        <f t="array" ref="K51">IFERROR(INDEX(F51:J51,6-L51),"")</f>
        <v>Updated professional development goals during Phase II of the PMES Cycle as evidenced by MOV 4</v>
      </c>
      <c r="L51" s="734">
        <f>'Encoding Part 1'!I27</f>
        <v>5</v>
      </c>
      <c r="M51" s="760">
        <f>'Encoding Part 1'!K27</f>
        <v>4</v>
      </c>
      <c r="N51" s="760">
        <f>'Encoding Part 1'!L27</f>
        <v>4</v>
      </c>
      <c r="O51" s="748">
        <f>'Encoding Part 1'!M27</f>
        <v>4.3333000000000004</v>
      </c>
      <c r="P51" s="751">
        <f>'Encoding Part 1'!N27</f>
        <v>0.29404999999999998</v>
      </c>
      <c r="Q51" s="226"/>
    </row>
    <row r="52" spans="1:17" ht="27.6">
      <c r="A52" s="754"/>
      <c r="B52" s="728"/>
      <c r="C52" s="731"/>
      <c r="D52" s="731"/>
      <c r="E52" s="233" t="s">
        <v>7</v>
      </c>
      <c r="F52" s="259" t="s">
        <v>1107</v>
      </c>
      <c r="G52" s="252" t="s">
        <v>1108</v>
      </c>
      <c r="H52" s="252" t="s">
        <v>1109</v>
      </c>
      <c r="I52" s="252" t="s">
        <v>1110</v>
      </c>
      <c r="J52" s="259" t="s">
        <v>1094</v>
      </c>
      <c r="K52" s="252" t="str" cm="1">
        <f t="array" ref="K52">IFERROR(INDEX(F52:J52,6-M51),"")</f>
        <v>Presented three (3) acceptable MOVs</v>
      </c>
      <c r="L52" s="735"/>
      <c r="M52" s="761"/>
      <c r="N52" s="761"/>
      <c r="O52" s="749"/>
      <c r="P52" s="752"/>
      <c r="Q52" s="226"/>
    </row>
    <row r="53" spans="1:17" ht="69.599999999999994" thickBot="1">
      <c r="A53" s="780"/>
      <c r="B53" s="729"/>
      <c r="C53" s="732"/>
      <c r="D53" s="732"/>
      <c r="E53" s="237" t="s">
        <v>2</v>
      </c>
      <c r="F53" s="260" t="s">
        <v>1123</v>
      </c>
      <c r="G53" s="253" t="s">
        <v>1124</v>
      </c>
      <c r="H53" s="253" t="s">
        <v>1125</v>
      </c>
      <c r="I53" s="253" t="s">
        <v>1126</v>
      </c>
      <c r="J53" s="261" t="s">
        <v>1094</v>
      </c>
      <c r="K53" s="253" t="str" cm="1">
        <f t="array" ref="K53">IFERROR(INDEX(F53:J53,6-N51),"")</f>
        <v>All three (3) presented MOVs were accomplished within the prescribed PMES Phase</v>
      </c>
      <c r="L53" s="736"/>
      <c r="M53" s="762"/>
      <c r="N53" s="762"/>
      <c r="O53" s="750"/>
      <c r="P53" s="753"/>
      <c r="Q53" s="226"/>
    </row>
    <row r="54" spans="1:17" ht="14.55" hidden="1" customHeight="1">
      <c r="A54" s="262"/>
      <c r="B54" s="263"/>
      <c r="C54" s="264"/>
      <c r="D54" s="265"/>
      <c r="E54" s="266" t="s">
        <v>7</v>
      </c>
      <c r="F54" s="267" t="s">
        <v>176</v>
      </c>
      <c r="G54" s="267" t="s">
        <v>176</v>
      </c>
      <c r="H54" s="267" t="s">
        <v>176</v>
      </c>
      <c r="I54" s="267" t="s">
        <v>176</v>
      </c>
      <c r="J54" s="267" t="s">
        <v>176</v>
      </c>
      <c r="K54" s="268" t="str" cm="1">
        <f t="array" ref="K54">IFERROR(INDEX(F54:J54,6-#REF!),"")</f>
        <v/>
      </c>
      <c r="L54" s="775"/>
      <c r="M54" s="775"/>
      <c r="N54" s="775"/>
      <c r="O54" s="763"/>
      <c r="P54" s="764"/>
      <c r="Q54" s="226"/>
    </row>
    <row r="55" spans="1:17" ht="14.55" hidden="1" customHeight="1">
      <c r="A55" s="262"/>
      <c r="B55" s="269"/>
      <c r="C55" s="270"/>
      <c r="D55" s="271"/>
      <c r="E55" s="242" t="s">
        <v>2</v>
      </c>
      <c r="F55" s="272" t="s">
        <v>176</v>
      </c>
      <c r="G55" s="272" t="s">
        <v>176</v>
      </c>
      <c r="H55" s="272" t="s">
        <v>176</v>
      </c>
      <c r="I55" s="272" t="s">
        <v>176</v>
      </c>
      <c r="J55" s="272" t="s">
        <v>176</v>
      </c>
      <c r="K55" s="272" t="str" cm="1">
        <f t="array" ref="K55">IFERROR(INDEX(F55:J55,6-#REF!),"")</f>
        <v/>
      </c>
      <c r="L55" s="761"/>
      <c r="M55" s="761"/>
      <c r="N55" s="761"/>
      <c r="O55" s="749"/>
      <c r="P55" s="752"/>
      <c r="Q55" s="226"/>
    </row>
    <row r="56" spans="1:17" ht="14.55" hidden="1" customHeight="1">
      <c r="A56" s="771" t="s">
        <v>176</v>
      </c>
      <c r="B56" s="772" t="s">
        <v>176</v>
      </c>
      <c r="C56" s="773" t="e">
        <v>#REF!</v>
      </c>
      <c r="D56" s="774">
        <v>0</v>
      </c>
      <c r="E56" s="242" t="s">
        <v>6</v>
      </c>
      <c r="F56" s="272" t="s">
        <v>176</v>
      </c>
      <c r="G56" s="272" t="s">
        <v>176</v>
      </c>
      <c r="H56" s="272" t="s">
        <v>176</v>
      </c>
      <c r="I56" s="272" t="s">
        <v>176</v>
      </c>
      <c r="J56" s="272" t="s">
        <v>176</v>
      </c>
      <c r="K56" s="273" t="str" cm="1">
        <f t="array" ref="K56">IFERROR(INDEX(F56:J56,6-L56),"")</f>
        <v/>
      </c>
      <c r="L56" s="761" t="s">
        <v>176</v>
      </c>
      <c r="M56" s="761" t="s">
        <v>176</v>
      </c>
      <c r="N56" s="761" t="s">
        <v>176</v>
      </c>
      <c r="O56" s="749">
        <f t="shared" ref="O56" si="0">IFERROR(ROUNDDOWN(AVERAGE($L56:$N56),3),0)</f>
        <v>0</v>
      </c>
      <c r="P56" s="752">
        <f t="shared" ref="P56" si="1">ROUNDDOWN($O56*$D56,3)</f>
        <v>0</v>
      </c>
      <c r="Q56" s="226"/>
    </row>
    <row r="57" spans="1:17" ht="14.55" hidden="1" customHeight="1">
      <c r="A57" s="771"/>
      <c r="B57" s="772"/>
      <c r="C57" s="773"/>
      <c r="D57" s="774"/>
      <c r="E57" s="242" t="s">
        <v>7</v>
      </c>
      <c r="F57" s="272" t="s">
        <v>176</v>
      </c>
      <c r="G57" s="272" t="s">
        <v>176</v>
      </c>
      <c r="H57" s="272" t="s">
        <v>176</v>
      </c>
      <c r="I57" s="272" t="s">
        <v>176</v>
      </c>
      <c r="J57" s="272" t="s">
        <v>176</v>
      </c>
      <c r="K57" s="273" t="str" cm="1">
        <f t="array" ref="K57">IFERROR(INDEX(F57:J57,6-M56),"")</f>
        <v/>
      </c>
      <c r="L57" s="761"/>
      <c r="M57" s="761"/>
      <c r="N57" s="761"/>
      <c r="O57" s="749"/>
      <c r="P57" s="752"/>
      <c r="Q57" s="226"/>
    </row>
    <row r="58" spans="1:17" ht="14.55" hidden="1" customHeight="1">
      <c r="A58" s="771"/>
      <c r="B58" s="772"/>
      <c r="C58" s="773"/>
      <c r="D58" s="774"/>
      <c r="E58" s="242" t="s">
        <v>2</v>
      </c>
      <c r="F58" s="272" t="s">
        <v>176</v>
      </c>
      <c r="G58" s="272" t="s">
        <v>176</v>
      </c>
      <c r="H58" s="272" t="s">
        <v>176</v>
      </c>
      <c r="I58" s="272" t="s">
        <v>176</v>
      </c>
      <c r="J58" s="272" t="s">
        <v>176</v>
      </c>
      <c r="K58" s="272" t="str" cm="1">
        <f t="array" ref="K58">IFERROR(INDEX(F58:J58,6-N56),"")</f>
        <v/>
      </c>
      <c r="L58" s="761"/>
      <c r="M58" s="761"/>
      <c r="N58" s="761"/>
      <c r="O58" s="749"/>
      <c r="P58" s="752"/>
      <c r="Q58" s="226"/>
    </row>
    <row r="59" spans="1:17" ht="14.55" hidden="1" customHeight="1">
      <c r="A59" s="771" t="s">
        <v>176</v>
      </c>
      <c r="B59" s="772" t="s">
        <v>176</v>
      </c>
      <c r="C59" s="773" t="e">
        <v>#REF!</v>
      </c>
      <c r="D59" s="774">
        <v>0</v>
      </c>
      <c r="E59" s="242" t="s">
        <v>6</v>
      </c>
      <c r="F59" s="272" t="s">
        <v>176</v>
      </c>
      <c r="G59" s="272" t="s">
        <v>176</v>
      </c>
      <c r="H59" s="272" t="s">
        <v>176</v>
      </c>
      <c r="I59" s="272" t="s">
        <v>176</v>
      </c>
      <c r="J59" s="272" t="s">
        <v>176</v>
      </c>
      <c r="K59" s="273" t="str" cm="1">
        <f t="array" ref="K59">IFERROR(INDEX(F59:J59,6-L59),"")</f>
        <v/>
      </c>
      <c r="L59" s="761" t="s">
        <v>176</v>
      </c>
      <c r="M59" s="761" t="s">
        <v>176</v>
      </c>
      <c r="N59" s="761" t="s">
        <v>176</v>
      </c>
      <c r="O59" s="749">
        <f t="shared" ref="O59" si="2">IFERROR(ROUNDDOWN(AVERAGE($L59:$N59),3),0)</f>
        <v>0</v>
      </c>
      <c r="P59" s="752">
        <f t="shared" ref="P59" si="3">ROUNDDOWN($O59*$D59,3)</f>
        <v>0</v>
      </c>
      <c r="Q59" s="226"/>
    </row>
    <row r="60" spans="1:17" ht="14.55" hidden="1" customHeight="1">
      <c r="A60" s="771"/>
      <c r="B60" s="772"/>
      <c r="C60" s="773"/>
      <c r="D60" s="774"/>
      <c r="E60" s="242" t="s">
        <v>7</v>
      </c>
      <c r="F60" s="272" t="s">
        <v>176</v>
      </c>
      <c r="G60" s="272" t="s">
        <v>176</v>
      </c>
      <c r="H60" s="272" t="s">
        <v>176</v>
      </c>
      <c r="I60" s="272" t="s">
        <v>176</v>
      </c>
      <c r="J60" s="272" t="s">
        <v>176</v>
      </c>
      <c r="K60" s="273" t="str" cm="1">
        <f t="array" ref="K60">IFERROR(INDEX(F60:J60,6-M59),"")</f>
        <v/>
      </c>
      <c r="L60" s="761"/>
      <c r="M60" s="761"/>
      <c r="N60" s="761"/>
      <c r="O60" s="749"/>
      <c r="P60" s="752"/>
      <c r="Q60" s="226"/>
    </row>
    <row r="61" spans="1:17" ht="14.55" hidden="1" customHeight="1">
      <c r="A61" s="771"/>
      <c r="B61" s="772"/>
      <c r="C61" s="773"/>
      <c r="D61" s="774"/>
      <c r="E61" s="242" t="s">
        <v>2</v>
      </c>
      <c r="F61" s="272" t="s">
        <v>176</v>
      </c>
      <c r="G61" s="272" t="s">
        <v>176</v>
      </c>
      <c r="H61" s="272" t="s">
        <v>176</v>
      </c>
      <c r="I61" s="272" t="s">
        <v>176</v>
      </c>
      <c r="J61" s="272" t="s">
        <v>176</v>
      </c>
      <c r="K61" s="272" t="str" cm="1">
        <f t="array" ref="K61">IFERROR(INDEX(F61:J61,6-N59),"")</f>
        <v/>
      </c>
      <c r="L61" s="761"/>
      <c r="M61" s="761"/>
      <c r="N61" s="761"/>
      <c r="O61" s="749"/>
      <c r="P61" s="752"/>
      <c r="Q61" s="226"/>
    </row>
    <row r="62" spans="1:17" ht="14.55" hidden="1" customHeight="1">
      <c r="A62" s="771" t="s">
        <v>176</v>
      </c>
      <c r="B62" s="772" t="s">
        <v>176</v>
      </c>
      <c r="C62" s="773" t="e">
        <v>#REF!</v>
      </c>
      <c r="D62" s="774">
        <v>0</v>
      </c>
      <c r="E62" s="242" t="s">
        <v>6</v>
      </c>
      <c r="F62" s="272" t="s">
        <v>176</v>
      </c>
      <c r="G62" s="272" t="s">
        <v>176</v>
      </c>
      <c r="H62" s="272" t="s">
        <v>176</v>
      </c>
      <c r="I62" s="272" t="s">
        <v>176</v>
      </c>
      <c r="J62" s="272" t="s">
        <v>176</v>
      </c>
      <c r="K62" s="273" t="str" cm="1">
        <f t="array" ref="K62">IFERROR(INDEX(F62:J62,6-L62),"")</f>
        <v/>
      </c>
      <c r="L62" s="761" t="s">
        <v>176</v>
      </c>
      <c r="M62" s="761" t="s">
        <v>176</v>
      </c>
      <c r="N62" s="761" t="s">
        <v>176</v>
      </c>
      <c r="O62" s="749">
        <f t="shared" ref="O62" si="4">IFERROR(ROUNDDOWN(AVERAGE($L62:$N62),3),0)</f>
        <v>0</v>
      </c>
      <c r="P62" s="752">
        <f t="shared" ref="P62" si="5">ROUNDDOWN($O62*$D62,3)</f>
        <v>0</v>
      </c>
      <c r="Q62" s="226"/>
    </row>
    <row r="63" spans="1:17" ht="14.55" hidden="1" customHeight="1">
      <c r="A63" s="771"/>
      <c r="B63" s="772"/>
      <c r="C63" s="773"/>
      <c r="D63" s="774"/>
      <c r="E63" s="242" t="s">
        <v>7</v>
      </c>
      <c r="F63" s="272" t="s">
        <v>176</v>
      </c>
      <c r="G63" s="272" t="s">
        <v>176</v>
      </c>
      <c r="H63" s="272" t="s">
        <v>176</v>
      </c>
      <c r="I63" s="272" t="s">
        <v>176</v>
      </c>
      <c r="J63" s="272" t="s">
        <v>176</v>
      </c>
      <c r="K63" s="273" t="str" cm="1">
        <f t="array" ref="K63">IFERROR(INDEX(F63:J63,6-M62),"")</f>
        <v/>
      </c>
      <c r="L63" s="761"/>
      <c r="M63" s="761"/>
      <c r="N63" s="761"/>
      <c r="O63" s="749"/>
      <c r="P63" s="752"/>
      <c r="Q63" s="226"/>
    </row>
    <row r="64" spans="1:17" ht="14.55" hidden="1" customHeight="1">
      <c r="A64" s="771"/>
      <c r="B64" s="772"/>
      <c r="C64" s="773"/>
      <c r="D64" s="774"/>
      <c r="E64" s="242" t="s">
        <v>2</v>
      </c>
      <c r="F64" s="272" t="s">
        <v>176</v>
      </c>
      <c r="G64" s="272" t="s">
        <v>176</v>
      </c>
      <c r="H64" s="272" t="s">
        <v>176</v>
      </c>
      <c r="I64" s="272" t="s">
        <v>176</v>
      </c>
      <c r="J64" s="272" t="s">
        <v>176</v>
      </c>
      <c r="K64" s="272" t="str" cm="1">
        <f t="array" ref="K64">IFERROR(INDEX(F64:J64,6-N62),"")</f>
        <v/>
      </c>
      <c r="L64" s="761"/>
      <c r="M64" s="761"/>
      <c r="N64" s="761"/>
      <c r="O64" s="749"/>
      <c r="P64" s="752"/>
      <c r="Q64" s="226"/>
    </row>
    <row r="65" spans="1:17" ht="14.55" hidden="1" customHeight="1">
      <c r="A65" s="771" t="s">
        <v>176</v>
      </c>
      <c r="B65" s="772" t="s">
        <v>176</v>
      </c>
      <c r="C65" s="773" t="e">
        <v>#REF!</v>
      </c>
      <c r="D65" s="774">
        <v>0</v>
      </c>
      <c r="E65" s="242" t="s">
        <v>6</v>
      </c>
      <c r="F65" s="272" t="s">
        <v>176</v>
      </c>
      <c r="G65" s="272" t="s">
        <v>176</v>
      </c>
      <c r="H65" s="272" t="s">
        <v>176</v>
      </c>
      <c r="I65" s="272" t="s">
        <v>176</v>
      </c>
      <c r="J65" s="272" t="s">
        <v>176</v>
      </c>
      <c r="K65" s="273" t="str" cm="1">
        <f t="array" ref="K65">IFERROR(INDEX(F65:J65,6-L65),"")</f>
        <v/>
      </c>
      <c r="L65" s="761" t="s">
        <v>176</v>
      </c>
      <c r="M65" s="761" t="s">
        <v>176</v>
      </c>
      <c r="N65" s="761" t="s">
        <v>176</v>
      </c>
      <c r="O65" s="749">
        <f t="shared" ref="O65" si="6">IFERROR(ROUNDDOWN(AVERAGE($L65:$N65),3),0)</f>
        <v>0</v>
      </c>
      <c r="P65" s="752">
        <f t="shared" ref="P65" si="7">ROUNDDOWN($O65*$D65,3)</f>
        <v>0</v>
      </c>
      <c r="Q65" s="226"/>
    </row>
    <row r="66" spans="1:17" ht="14.55" hidden="1" customHeight="1">
      <c r="A66" s="771"/>
      <c r="B66" s="772"/>
      <c r="C66" s="773"/>
      <c r="D66" s="774"/>
      <c r="E66" s="242" t="s">
        <v>7</v>
      </c>
      <c r="F66" s="272" t="s">
        <v>176</v>
      </c>
      <c r="G66" s="272" t="s">
        <v>176</v>
      </c>
      <c r="H66" s="272" t="s">
        <v>176</v>
      </c>
      <c r="I66" s="272" t="s">
        <v>176</v>
      </c>
      <c r="J66" s="272" t="s">
        <v>176</v>
      </c>
      <c r="K66" s="273" t="str" cm="1">
        <f t="array" ref="K66">IFERROR(INDEX(F66:J66,6-M65),"")</f>
        <v/>
      </c>
      <c r="L66" s="761"/>
      <c r="M66" s="761"/>
      <c r="N66" s="761"/>
      <c r="O66" s="749"/>
      <c r="P66" s="752"/>
      <c r="Q66" s="226"/>
    </row>
    <row r="67" spans="1:17" ht="14.55" hidden="1" customHeight="1">
      <c r="A67" s="771"/>
      <c r="B67" s="772"/>
      <c r="C67" s="773"/>
      <c r="D67" s="774"/>
      <c r="E67" s="242" t="s">
        <v>2</v>
      </c>
      <c r="F67" s="272" t="s">
        <v>176</v>
      </c>
      <c r="G67" s="272" t="s">
        <v>176</v>
      </c>
      <c r="H67" s="272" t="s">
        <v>176</v>
      </c>
      <c r="I67" s="272" t="s">
        <v>176</v>
      </c>
      <c r="J67" s="272" t="s">
        <v>176</v>
      </c>
      <c r="K67" s="272" t="str" cm="1">
        <f t="array" ref="K67">IFERROR(INDEX(F67:J67,6-N65),"")</f>
        <v/>
      </c>
      <c r="L67" s="761"/>
      <c r="M67" s="761"/>
      <c r="N67" s="761"/>
      <c r="O67" s="749"/>
      <c r="P67" s="752"/>
      <c r="Q67" s="226"/>
    </row>
    <row r="68" spans="1:17" ht="14.55" hidden="1" customHeight="1">
      <c r="A68" s="771" t="s">
        <v>176</v>
      </c>
      <c r="B68" s="772" t="s">
        <v>176</v>
      </c>
      <c r="C68" s="773" t="e">
        <v>#REF!</v>
      </c>
      <c r="D68" s="774">
        <v>0</v>
      </c>
      <c r="E68" s="242" t="s">
        <v>6</v>
      </c>
      <c r="F68" s="272" t="s">
        <v>176</v>
      </c>
      <c r="G68" s="272" t="s">
        <v>176</v>
      </c>
      <c r="H68" s="272" t="s">
        <v>176</v>
      </c>
      <c r="I68" s="272" t="s">
        <v>176</v>
      </c>
      <c r="J68" s="272" t="s">
        <v>176</v>
      </c>
      <c r="K68" s="273" t="str" cm="1">
        <f t="array" ref="K68">IFERROR(INDEX(F68:J68,6-L68),"")</f>
        <v/>
      </c>
      <c r="L68" s="761" t="s">
        <v>176</v>
      </c>
      <c r="M68" s="761" t="s">
        <v>176</v>
      </c>
      <c r="N68" s="761" t="s">
        <v>176</v>
      </c>
      <c r="O68" s="749">
        <f t="shared" ref="O68" si="8">IFERROR(ROUNDDOWN(AVERAGE($L68:$N68),3),0)</f>
        <v>0</v>
      </c>
      <c r="P68" s="752">
        <f t="shared" ref="P68" si="9">ROUNDDOWN($O68*$D68,3)</f>
        <v>0</v>
      </c>
      <c r="Q68" s="226"/>
    </row>
    <row r="69" spans="1:17" ht="14.55" hidden="1" customHeight="1">
      <c r="A69" s="771"/>
      <c r="B69" s="772"/>
      <c r="C69" s="773"/>
      <c r="D69" s="774"/>
      <c r="E69" s="242" t="s">
        <v>7</v>
      </c>
      <c r="F69" s="272" t="s">
        <v>176</v>
      </c>
      <c r="G69" s="272" t="s">
        <v>176</v>
      </c>
      <c r="H69" s="272" t="s">
        <v>176</v>
      </c>
      <c r="I69" s="272" t="s">
        <v>176</v>
      </c>
      <c r="J69" s="272" t="s">
        <v>176</v>
      </c>
      <c r="K69" s="273" t="str" cm="1">
        <f t="array" ref="K69">IFERROR(INDEX(F69:J69,6-M68),"")</f>
        <v/>
      </c>
      <c r="L69" s="761"/>
      <c r="M69" s="761"/>
      <c r="N69" s="761"/>
      <c r="O69" s="749"/>
      <c r="P69" s="752"/>
      <c r="Q69" s="226"/>
    </row>
    <row r="70" spans="1:17" ht="14.55" hidden="1" customHeight="1">
      <c r="A70" s="771"/>
      <c r="B70" s="772"/>
      <c r="C70" s="773"/>
      <c r="D70" s="774"/>
      <c r="E70" s="242" t="s">
        <v>2</v>
      </c>
      <c r="F70" s="272" t="s">
        <v>176</v>
      </c>
      <c r="G70" s="272" t="s">
        <v>176</v>
      </c>
      <c r="H70" s="272" t="s">
        <v>176</v>
      </c>
      <c r="I70" s="272" t="s">
        <v>176</v>
      </c>
      <c r="J70" s="272" t="s">
        <v>176</v>
      </c>
      <c r="K70" s="272" t="str" cm="1">
        <f t="array" ref="K70">IFERROR(INDEX(F70:J70,6-N68),"")</f>
        <v/>
      </c>
      <c r="L70" s="761"/>
      <c r="M70" s="761"/>
      <c r="N70" s="761"/>
      <c r="O70" s="749"/>
      <c r="P70" s="752"/>
      <c r="Q70" s="226"/>
    </row>
    <row r="71" spans="1:17" ht="14.55" hidden="1" customHeight="1">
      <c r="A71" s="771" t="s">
        <v>176</v>
      </c>
      <c r="B71" s="772" t="s">
        <v>176</v>
      </c>
      <c r="C71" s="773" t="e">
        <v>#REF!</v>
      </c>
      <c r="D71" s="774">
        <v>0</v>
      </c>
      <c r="E71" s="242" t="s">
        <v>6</v>
      </c>
      <c r="F71" s="272" t="s">
        <v>176</v>
      </c>
      <c r="G71" s="272" t="s">
        <v>176</v>
      </c>
      <c r="H71" s="272" t="s">
        <v>176</v>
      </c>
      <c r="I71" s="272" t="s">
        <v>176</v>
      </c>
      <c r="J71" s="272" t="s">
        <v>176</v>
      </c>
      <c r="K71" s="273" t="str" cm="1">
        <f t="array" ref="K71">IFERROR(INDEX(F71:J71,6-L71),"")</f>
        <v/>
      </c>
      <c r="L71" s="761" t="s">
        <v>176</v>
      </c>
      <c r="M71" s="761" t="s">
        <v>176</v>
      </c>
      <c r="N71" s="761" t="s">
        <v>176</v>
      </c>
      <c r="O71" s="749">
        <f t="shared" ref="O71" si="10">IFERROR(ROUNDDOWN(AVERAGE($L71:$N71),3),0)</f>
        <v>0</v>
      </c>
      <c r="P71" s="752">
        <f t="shared" ref="P71" si="11">ROUNDDOWN($O71*$D71,3)</f>
        <v>0</v>
      </c>
      <c r="Q71" s="226"/>
    </row>
    <row r="72" spans="1:17" ht="14.55" hidden="1" customHeight="1">
      <c r="A72" s="771"/>
      <c r="B72" s="772"/>
      <c r="C72" s="773"/>
      <c r="D72" s="774"/>
      <c r="E72" s="242" t="s">
        <v>7</v>
      </c>
      <c r="F72" s="272" t="s">
        <v>176</v>
      </c>
      <c r="G72" s="272" t="s">
        <v>176</v>
      </c>
      <c r="H72" s="272" t="s">
        <v>176</v>
      </c>
      <c r="I72" s="272" t="s">
        <v>176</v>
      </c>
      <c r="J72" s="272" t="s">
        <v>176</v>
      </c>
      <c r="K72" s="273" t="str" cm="1">
        <f t="array" ref="K72">IFERROR(INDEX(F72:J72,6-M71),"")</f>
        <v/>
      </c>
      <c r="L72" s="761"/>
      <c r="M72" s="761"/>
      <c r="N72" s="761"/>
      <c r="O72" s="749"/>
      <c r="P72" s="752"/>
      <c r="Q72" s="226"/>
    </row>
    <row r="73" spans="1:17" ht="15" hidden="1" customHeight="1" thickBot="1">
      <c r="A73" s="800"/>
      <c r="B73" s="801"/>
      <c r="C73" s="802"/>
      <c r="D73" s="803"/>
      <c r="E73" s="244" t="s">
        <v>2</v>
      </c>
      <c r="F73" s="274" t="s">
        <v>176</v>
      </c>
      <c r="G73" s="274" t="s">
        <v>176</v>
      </c>
      <c r="H73" s="274" t="s">
        <v>176</v>
      </c>
      <c r="I73" s="274" t="s">
        <v>176</v>
      </c>
      <c r="J73" s="274" t="s">
        <v>176</v>
      </c>
      <c r="K73" s="274" t="str" cm="1">
        <f t="array" ref="K73">IFERROR(INDEX(F73:J73,6-N71),"")</f>
        <v/>
      </c>
      <c r="L73" s="762"/>
      <c r="M73" s="762"/>
      <c r="N73" s="762"/>
      <c r="O73" s="750"/>
      <c r="P73" s="753"/>
      <c r="Q73" s="226"/>
    </row>
    <row r="74" spans="1:17" ht="37.049999999999997" customHeight="1" thickBot="1">
      <c r="A74" s="275"/>
      <c r="B74" s="275"/>
      <c r="C74" s="275"/>
      <c r="D74" s="275"/>
      <c r="E74" s="275"/>
      <c r="F74" s="275"/>
      <c r="G74" s="275"/>
      <c r="H74" s="275"/>
      <c r="I74" s="795" t="s">
        <v>1196</v>
      </c>
      <c r="J74" s="795"/>
      <c r="K74" s="796"/>
      <c r="L74" s="797" t="str">
        <f ca="1">'Encoding Part 1'!N29</f>
        <v>Very Satisfactory</v>
      </c>
      <c r="M74" s="798"/>
      <c r="N74" s="798"/>
      <c r="O74" s="799"/>
      <c r="P74" s="276">
        <f ca="1">ROUND(SUM(P12:P73),4)</f>
        <v>4.3541999999999996</v>
      </c>
      <c r="Q74" s="226"/>
    </row>
    <row r="75" spans="1:17" ht="15.75" customHeight="1" thickBot="1">
      <c r="A75" s="790" t="s">
        <v>1037</v>
      </c>
      <c r="B75" s="791"/>
      <c r="C75" s="791"/>
      <c r="D75" s="791"/>
      <c r="E75" s="792"/>
      <c r="F75" s="277"/>
      <c r="G75" s="277"/>
      <c r="H75" s="277"/>
      <c r="I75" s="277"/>
      <c r="J75" s="277"/>
      <c r="K75" s="277"/>
      <c r="L75" s="277"/>
      <c r="M75" s="277"/>
      <c r="N75" s="277"/>
      <c r="O75" s="277"/>
      <c r="P75" s="277"/>
    </row>
    <row r="76" spans="1:17" ht="15.75" customHeight="1">
      <c r="A76" s="278" t="s">
        <v>1038</v>
      </c>
      <c r="B76" s="779" t="s">
        <v>1039</v>
      </c>
      <c r="C76" s="779"/>
      <c r="D76" s="779"/>
      <c r="E76" s="779"/>
      <c r="F76" s="277"/>
      <c r="G76" s="277"/>
      <c r="H76" s="277"/>
      <c r="I76" s="277"/>
      <c r="J76" s="277"/>
      <c r="K76" s="277"/>
      <c r="L76" s="277"/>
      <c r="M76" s="277"/>
      <c r="N76" s="277"/>
      <c r="O76" s="277"/>
      <c r="P76" s="277"/>
    </row>
    <row r="77" spans="1:17" ht="15.75" customHeight="1">
      <c r="A77" s="279" t="s">
        <v>1040</v>
      </c>
      <c r="B77" s="778" t="s">
        <v>87</v>
      </c>
      <c r="C77" s="778"/>
      <c r="D77" s="778"/>
      <c r="E77" s="778"/>
      <c r="F77" s="277"/>
      <c r="G77" s="277"/>
      <c r="H77" s="277"/>
      <c r="I77" s="277"/>
      <c r="J77" s="277"/>
      <c r="K77" s="277"/>
      <c r="L77" s="277"/>
      <c r="M77" s="277"/>
      <c r="N77" s="277"/>
      <c r="O77" s="277"/>
      <c r="P77" s="277"/>
    </row>
    <row r="78" spans="1:17" ht="15.75" customHeight="1">
      <c r="A78" s="279" t="s">
        <v>1041</v>
      </c>
      <c r="B78" s="778" t="s">
        <v>85</v>
      </c>
      <c r="C78" s="778"/>
      <c r="D78" s="778"/>
      <c r="E78" s="778"/>
      <c r="F78" s="277"/>
      <c r="G78" s="277"/>
      <c r="H78" s="277"/>
      <c r="I78" s="277"/>
      <c r="J78" s="277"/>
      <c r="K78" s="277"/>
      <c r="L78" s="277"/>
      <c r="M78" s="277"/>
      <c r="N78" s="277"/>
      <c r="O78" s="277"/>
      <c r="P78" s="277"/>
    </row>
    <row r="79" spans="1:17" ht="15.75" customHeight="1">
      <c r="A79" s="279" t="s">
        <v>1042</v>
      </c>
      <c r="B79" s="778" t="s">
        <v>83</v>
      </c>
      <c r="C79" s="778"/>
      <c r="D79" s="778"/>
      <c r="E79" s="778"/>
      <c r="F79" s="277"/>
      <c r="G79" s="277"/>
      <c r="H79" s="277"/>
      <c r="I79" s="277"/>
      <c r="J79" s="277"/>
      <c r="K79" s="277"/>
      <c r="L79" s="277"/>
      <c r="M79" s="277"/>
      <c r="N79" s="277"/>
      <c r="O79" s="277"/>
      <c r="P79" s="277"/>
    </row>
    <row r="80" spans="1:17" ht="15.75" customHeight="1">
      <c r="A80" s="279" t="s">
        <v>1043</v>
      </c>
      <c r="B80" s="778" t="s">
        <v>81</v>
      </c>
      <c r="C80" s="778"/>
      <c r="D80" s="778"/>
      <c r="E80" s="778"/>
      <c r="F80" s="277"/>
      <c r="G80" s="277"/>
      <c r="H80" s="277"/>
      <c r="I80" s="277"/>
      <c r="J80" s="277"/>
      <c r="K80" s="277"/>
      <c r="L80" s="277"/>
      <c r="M80" s="277"/>
      <c r="N80" s="277"/>
      <c r="O80" s="277"/>
      <c r="P80" s="277"/>
    </row>
    <row r="81" spans="1:16" ht="15.75" customHeight="1">
      <c r="A81" s="279" t="s">
        <v>1044</v>
      </c>
      <c r="B81" s="778" t="s">
        <v>79</v>
      </c>
      <c r="C81" s="778"/>
      <c r="D81" s="778"/>
      <c r="E81" s="778"/>
      <c r="F81" s="277"/>
      <c r="G81" s="277"/>
      <c r="H81" s="277"/>
      <c r="I81" s="277"/>
      <c r="J81" s="277"/>
      <c r="K81" s="277"/>
      <c r="L81" s="277"/>
      <c r="M81" s="277"/>
      <c r="N81" s="277"/>
      <c r="O81" s="277"/>
      <c r="P81" s="277"/>
    </row>
    <row r="86" spans="1:16">
      <c r="A86" s="793" t="str">
        <f>C2</f>
        <v>EJONIE G. DEGOLLACION</v>
      </c>
      <c r="B86" s="793"/>
      <c r="C86" s="793"/>
      <c r="D86" s="793"/>
      <c r="F86" s="794" t="str">
        <f>J2</f>
        <v>GLORIFEL B. SAREÑO</v>
      </c>
      <c r="G86" s="794"/>
      <c r="H86" s="794"/>
      <c r="J86" s="793" t="str">
        <f>'Encoding Part 1'!L33&amp;" "&amp;'Encoding Part 1'!Q33&amp;" "&amp;'Encoding Part 1'!G33</f>
        <v>NICKJON C. BABATU-ON</v>
      </c>
      <c r="K86" s="793"/>
      <c r="L86" s="793"/>
      <c r="M86" s="793"/>
      <c r="N86" s="793"/>
    </row>
    <row r="87" spans="1:16" ht="15" customHeight="1">
      <c r="A87" s="776" t="s">
        <v>1007</v>
      </c>
      <c r="B87" s="776"/>
      <c r="C87" s="776"/>
      <c r="D87" s="776"/>
      <c r="E87" s="280"/>
      <c r="F87" s="777" t="s">
        <v>1045</v>
      </c>
      <c r="G87" s="777"/>
      <c r="H87" s="777"/>
      <c r="I87" s="280"/>
      <c r="J87" s="776" t="s">
        <v>1046</v>
      </c>
      <c r="K87" s="776"/>
      <c r="L87" s="776"/>
      <c r="M87" s="776"/>
      <c r="N87" s="776"/>
    </row>
  </sheetData>
  <sheetProtection algorithmName="SHA-512" hashValue="5x/B3qIGHQ+bw2WDloBhAMdN76VLoT2Iu7UK8t3sRSx9bAKtVwuNykBgWwOMGOBOWsdScyuFjzYXO6mEFqd7wg==" saltValue="YdKxizUrFQEReqRPP3zw9g==" spinCount="100000" sheet="1" objects="1" scenarios="1" formatRows="0"/>
  <mergeCells count="216">
    <mergeCell ref="A4:B4"/>
    <mergeCell ref="C4:H4"/>
    <mergeCell ref="A5:B5"/>
    <mergeCell ref="C5:H5"/>
    <mergeCell ref="I5:P5"/>
    <mergeCell ref="A1:P1"/>
    <mergeCell ref="A2:B2"/>
    <mergeCell ref="C2:H2"/>
    <mergeCell ref="A3:B3"/>
    <mergeCell ref="C3:H3"/>
    <mergeCell ref="J2:P2"/>
    <mergeCell ref="J3:P3"/>
    <mergeCell ref="J4:P4"/>
    <mergeCell ref="E10:E11"/>
    <mergeCell ref="A12:A20"/>
    <mergeCell ref="B12:B14"/>
    <mergeCell ref="C12:C14"/>
    <mergeCell ref="D12:D14"/>
    <mergeCell ref="L12:L14"/>
    <mergeCell ref="A8:J8"/>
    <mergeCell ref="K8:P8"/>
    <mergeCell ref="A9:A11"/>
    <mergeCell ref="B9:B11"/>
    <mergeCell ref="C9:C11"/>
    <mergeCell ref="D9:D11"/>
    <mergeCell ref="E9:J9"/>
    <mergeCell ref="K9:K11"/>
    <mergeCell ref="L9:O10"/>
    <mergeCell ref="P9:P11"/>
    <mergeCell ref="M12:M14"/>
    <mergeCell ref="N12:N14"/>
    <mergeCell ref="O12:O14"/>
    <mergeCell ref="P12:P14"/>
    <mergeCell ref="B15:B17"/>
    <mergeCell ref="C15:C17"/>
    <mergeCell ref="D15:D17"/>
    <mergeCell ref="L15:L17"/>
    <mergeCell ref="M15:M17"/>
    <mergeCell ref="N15:N17"/>
    <mergeCell ref="O15:O17"/>
    <mergeCell ref="P15:P17"/>
    <mergeCell ref="B18:B20"/>
    <mergeCell ref="C18:C20"/>
    <mergeCell ref="D18:D20"/>
    <mergeCell ref="L18:L20"/>
    <mergeCell ref="M18:M20"/>
    <mergeCell ref="N18:N20"/>
    <mergeCell ref="O18:O20"/>
    <mergeCell ref="P18:P20"/>
    <mergeCell ref="P27:P29"/>
    <mergeCell ref="N21:N23"/>
    <mergeCell ref="O21:O23"/>
    <mergeCell ref="P21:P23"/>
    <mergeCell ref="B24:B26"/>
    <mergeCell ref="C24:C26"/>
    <mergeCell ref="D24:D26"/>
    <mergeCell ref="L24:L26"/>
    <mergeCell ref="M24:M26"/>
    <mergeCell ref="N24:N26"/>
    <mergeCell ref="O24:O26"/>
    <mergeCell ref="B21:B23"/>
    <mergeCell ref="C21:C23"/>
    <mergeCell ref="D21:D23"/>
    <mergeCell ref="L21:L23"/>
    <mergeCell ref="M21:M23"/>
    <mergeCell ref="P24:P26"/>
    <mergeCell ref="A21:A26"/>
    <mergeCell ref="N30:N32"/>
    <mergeCell ref="O30:O32"/>
    <mergeCell ref="P30:P32"/>
    <mergeCell ref="B33:B35"/>
    <mergeCell ref="C33:C35"/>
    <mergeCell ref="D33:D35"/>
    <mergeCell ref="L33:L35"/>
    <mergeCell ref="M33:M35"/>
    <mergeCell ref="N33:N35"/>
    <mergeCell ref="O33:O35"/>
    <mergeCell ref="B30:B32"/>
    <mergeCell ref="C30:C32"/>
    <mergeCell ref="D30:D32"/>
    <mergeCell ref="L30:L32"/>
    <mergeCell ref="M30:M32"/>
    <mergeCell ref="A27:A29"/>
    <mergeCell ref="B27:B29"/>
    <mergeCell ref="C27:C29"/>
    <mergeCell ref="D27:D29"/>
    <mergeCell ref="L27:L29"/>
    <mergeCell ref="M27:M29"/>
    <mergeCell ref="N27:N29"/>
    <mergeCell ref="O27:O29"/>
    <mergeCell ref="A39:A47"/>
    <mergeCell ref="B39:B41"/>
    <mergeCell ref="C39:C41"/>
    <mergeCell ref="D39:D41"/>
    <mergeCell ref="L39:L41"/>
    <mergeCell ref="M39:M41"/>
    <mergeCell ref="P33:P35"/>
    <mergeCell ref="B36:B38"/>
    <mergeCell ref="C36:C38"/>
    <mergeCell ref="D36:D38"/>
    <mergeCell ref="L36:L38"/>
    <mergeCell ref="M36:M38"/>
    <mergeCell ref="N36:N38"/>
    <mergeCell ref="O36:O38"/>
    <mergeCell ref="P36:P38"/>
    <mergeCell ref="A30:A38"/>
    <mergeCell ref="N39:N41"/>
    <mergeCell ref="O39:O41"/>
    <mergeCell ref="P39:P41"/>
    <mergeCell ref="B42:B44"/>
    <mergeCell ref="C42:C44"/>
    <mergeCell ref="D42:D44"/>
    <mergeCell ref="L42:L44"/>
    <mergeCell ref="M42:M44"/>
    <mergeCell ref="N42:N44"/>
    <mergeCell ref="O42:O44"/>
    <mergeCell ref="P42:P44"/>
    <mergeCell ref="B45:B47"/>
    <mergeCell ref="C45:C47"/>
    <mergeCell ref="D45:D47"/>
    <mergeCell ref="L45:L47"/>
    <mergeCell ref="M45:M47"/>
    <mergeCell ref="N45:N47"/>
    <mergeCell ref="O45:O47"/>
    <mergeCell ref="P45:P47"/>
    <mergeCell ref="B51:B53"/>
    <mergeCell ref="C51:C53"/>
    <mergeCell ref="D51:D53"/>
    <mergeCell ref="L51:L53"/>
    <mergeCell ref="M51:M53"/>
    <mergeCell ref="N51:N53"/>
    <mergeCell ref="O51:O53"/>
    <mergeCell ref="A48:A53"/>
    <mergeCell ref="B48:B50"/>
    <mergeCell ref="C48:C50"/>
    <mergeCell ref="D48:D50"/>
    <mergeCell ref="L48:L50"/>
    <mergeCell ref="M48:M50"/>
    <mergeCell ref="P51:P53"/>
    <mergeCell ref="L54:L55"/>
    <mergeCell ref="M54:M55"/>
    <mergeCell ref="N54:N55"/>
    <mergeCell ref="O54:O55"/>
    <mergeCell ref="P54:P55"/>
    <mergeCell ref="N48:N50"/>
    <mergeCell ref="O48:O50"/>
    <mergeCell ref="P48:P50"/>
    <mergeCell ref="N56:N58"/>
    <mergeCell ref="O56:O58"/>
    <mergeCell ref="P56:P58"/>
    <mergeCell ref="A59:A61"/>
    <mergeCell ref="B59:B61"/>
    <mergeCell ref="C59:C61"/>
    <mergeCell ref="D59:D61"/>
    <mergeCell ref="L59:L61"/>
    <mergeCell ref="M59:M61"/>
    <mergeCell ref="N59:N61"/>
    <mergeCell ref="A56:A58"/>
    <mergeCell ref="B56:B58"/>
    <mergeCell ref="C56:C58"/>
    <mergeCell ref="D56:D58"/>
    <mergeCell ref="L56:L58"/>
    <mergeCell ref="M56:M58"/>
    <mergeCell ref="O59:O61"/>
    <mergeCell ref="P59:P61"/>
    <mergeCell ref="A62:A64"/>
    <mergeCell ref="B62:B64"/>
    <mergeCell ref="C62:C64"/>
    <mergeCell ref="D62:D64"/>
    <mergeCell ref="L62:L64"/>
    <mergeCell ref="M62:M64"/>
    <mergeCell ref="N62:N64"/>
    <mergeCell ref="O62:O64"/>
    <mergeCell ref="P62:P64"/>
    <mergeCell ref="A65:A67"/>
    <mergeCell ref="B65:B67"/>
    <mergeCell ref="C65:C67"/>
    <mergeCell ref="D65:D67"/>
    <mergeCell ref="L65:L67"/>
    <mergeCell ref="M65:M67"/>
    <mergeCell ref="N65:N67"/>
    <mergeCell ref="O65:O67"/>
    <mergeCell ref="P65:P67"/>
    <mergeCell ref="O71:O73"/>
    <mergeCell ref="P71:P73"/>
    <mergeCell ref="I74:K74"/>
    <mergeCell ref="L74:O74"/>
    <mergeCell ref="B76:E76"/>
    <mergeCell ref="B77:E77"/>
    <mergeCell ref="N68:N70"/>
    <mergeCell ref="O68:O70"/>
    <mergeCell ref="P68:P70"/>
    <mergeCell ref="A75:E75"/>
    <mergeCell ref="A71:A73"/>
    <mergeCell ref="B71:B73"/>
    <mergeCell ref="C71:C73"/>
    <mergeCell ref="D71:D73"/>
    <mergeCell ref="L71:L73"/>
    <mergeCell ref="M71:M73"/>
    <mergeCell ref="N71:N73"/>
    <mergeCell ref="A68:A70"/>
    <mergeCell ref="B68:B70"/>
    <mergeCell ref="C68:C70"/>
    <mergeCell ref="D68:D70"/>
    <mergeCell ref="L68:L70"/>
    <mergeCell ref="M68:M70"/>
    <mergeCell ref="J86:N86"/>
    <mergeCell ref="A87:D87"/>
    <mergeCell ref="F87:H87"/>
    <mergeCell ref="J87:N87"/>
    <mergeCell ref="B78:E78"/>
    <mergeCell ref="B79:E79"/>
    <mergeCell ref="B80:E80"/>
    <mergeCell ref="B81:E81"/>
    <mergeCell ref="A86:D86"/>
    <mergeCell ref="F86:H86"/>
  </mergeCells>
  <conditionalFormatting sqref="A9:P11">
    <cfRule type="expression" dxfId="46" priority="5">
      <formula>career_stage="HP"</formula>
    </cfRule>
    <cfRule type="expression" dxfId="45" priority="6">
      <formula>career_stage="P"</formula>
    </cfRule>
  </conditionalFormatting>
  <conditionalFormatting sqref="A12:A73">
    <cfRule type="expression" dxfId="44" priority="4">
      <formula>AND(NOT(#REF!),#REF!&gt;1)</formula>
    </cfRule>
  </conditionalFormatting>
  <conditionalFormatting sqref="F12:K73">
    <cfRule type="cellIs" dxfId="43" priority="2" operator="equal">
      <formula>0</formula>
    </cfRule>
  </conditionalFormatting>
  <conditionalFormatting sqref="L12:N73">
    <cfRule type="expression" dxfId="42" priority="1">
      <formula>NOT(#REF!)</formula>
    </cfRule>
  </conditionalFormatting>
  <printOptions horizontalCentered="1"/>
  <pageMargins left="0.5" right="0.5" top="0.7" bottom="0.55000000000000004" header="0" footer="0.23"/>
  <pageSetup paperSize="9" scale="80" fitToHeight="0" orientation="landscape" r:id="rId1"/>
  <headerFooter>
    <oddHeader>&amp;C&amp;"Calibri,Regular"&amp;K000000&amp;G</oddHeader>
    <oddFooter>Page &amp;P of &amp;N</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1E2C3-E09B-413C-9265-5DBF2993A785}">
  <sheetPr codeName="PART8">
    <pageSetUpPr fitToPage="1"/>
  </sheetPr>
  <dimension ref="A1:R92"/>
  <sheetViews>
    <sheetView showGridLines="0" zoomScale="80" zoomScaleNormal="80" zoomScaleSheetLayoutView="100" workbookViewId="0">
      <selection activeCell="C2" sqref="C2:H2"/>
    </sheetView>
  </sheetViews>
  <sheetFormatPr defaultColWidth="9.6640625" defaultRowHeight="14.4"/>
  <cols>
    <col min="1" max="1" width="15.21875" style="14" customWidth="1"/>
    <col min="2" max="2" width="14.6640625" style="14" customWidth="1"/>
    <col min="3" max="3" width="8.21875" style="14" customWidth="1"/>
    <col min="4" max="4" width="8.6640625" style="14" customWidth="1"/>
    <col min="5" max="5" width="11.21875" style="14" customWidth="1"/>
    <col min="6" max="11" width="17.21875" style="14" customWidth="1"/>
    <col min="12" max="16" width="5.33203125" style="14" customWidth="1"/>
    <col min="17" max="17" width="6.44140625" style="14" customWidth="1"/>
    <col min="18" max="16384" width="9.6640625" style="14"/>
  </cols>
  <sheetData>
    <row r="1" spans="1:18" ht="24" customHeight="1" thickBot="1">
      <c r="A1" s="844" t="s">
        <v>1013</v>
      </c>
      <c r="B1" s="845"/>
      <c r="C1" s="845"/>
      <c r="D1" s="845"/>
      <c r="E1" s="845"/>
      <c r="F1" s="845"/>
      <c r="G1" s="845"/>
      <c r="H1" s="845"/>
      <c r="I1" s="845"/>
      <c r="J1" s="845"/>
      <c r="K1" s="845"/>
      <c r="L1" s="845"/>
      <c r="M1" s="845"/>
      <c r="N1" s="845"/>
      <c r="O1" s="845"/>
      <c r="P1" s="845"/>
      <c r="Q1" s="846"/>
      <c r="R1" s="220" t="s">
        <v>817</v>
      </c>
    </row>
    <row r="2" spans="1:18" ht="24" customHeight="1">
      <c r="A2" s="847" t="s">
        <v>128</v>
      </c>
      <c r="B2" s="848"/>
      <c r="C2" s="812" t="str">
        <f>'Encoding Part 1'!C7</f>
        <v>EJONIE G. DEGOLLACION</v>
      </c>
      <c r="D2" s="812"/>
      <c r="E2" s="812"/>
      <c r="F2" s="812"/>
      <c r="G2" s="812"/>
      <c r="H2" s="812"/>
      <c r="I2" s="283" t="s">
        <v>129</v>
      </c>
      <c r="J2" s="813" t="str">
        <f>'Encoding Part 1'!B33</f>
        <v>GLORIFEL B. SAREÑO</v>
      </c>
      <c r="K2" s="814"/>
      <c r="L2" s="814"/>
      <c r="M2" s="814"/>
      <c r="N2" s="814"/>
      <c r="O2" s="814"/>
      <c r="P2" s="814"/>
      <c r="Q2" s="815"/>
    </row>
    <row r="3" spans="1:18" ht="24" customHeight="1">
      <c r="A3" s="838" t="s">
        <v>0</v>
      </c>
      <c r="B3" s="839"/>
      <c r="C3" s="709" t="str">
        <f>'Encoding Part 1'!C8</f>
        <v>Teacher III</v>
      </c>
      <c r="D3" s="709"/>
      <c r="E3" s="709"/>
      <c r="F3" s="709"/>
      <c r="G3" s="709"/>
      <c r="H3" s="709"/>
      <c r="I3" s="284" t="s">
        <v>0</v>
      </c>
      <c r="J3" s="784" t="str">
        <f>'Encoding Part 1'!H8</f>
        <v>Master Teacher I</v>
      </c>
      <c r="K3" s="785"/>
      <c r="L3" s="785"/>
      <c r="M3" s="785"/>
      <c r="N3" s="785"/>
      <c r="O3" s="785"/>
      <c r="P3" s="785"/>
      <c r="Q3" s="786"/>
    </row>
    <row r="4" spans="1:18" ht="24" customHeight="1">
      <c r="A4" s="838" t="s">
        <v>1018</v>
      </c>
      <c r="B4" s="839"/>
      <c r="C4" s="709" t="str">
        <f>'Encoding Part 1'!C9</f>
        <v xml:space="preserve">Lapu-Lapu City </v>
      </c>
      <c r="D4" s="709"/>
      <c r="E4" s="709"/>
      <c r="F4" s="709"/>
      <c r="G4" s="709"/>
      <c r="H4" s="709"/>
      <c r="I4" s="284" t="s">
        <v>1</v>
      </c>
      <c r="J4" s="787">
        <f>'Encoding Part 1'!H9</f>
        <v>46112</v>
      </c>
      <c r="K4" s="788"/>
      <c r="L4" s="788"/>
      <c r="M4" s="788"/>
      <c r="N4" s="788"/>
      <c r="O4" s="788"/>
      <c r="P4" s="788"/>
      <c r="Q4" s="789"/>
    </row>
    <row r="5" spans="1:18" ht="24" customHeight="1" thickBot="1">
      <c r="A5" s="840" t="s">
        <v>130</v>
      </c>
      <c r="B5" s="841"/>
      <c r="C5" s="710" t="str">
        <f>'Encoding Part 1'!C10</f>
        <v>SY 2025-2026</v>
      </c>
      <c r="D5" s="711"/>
      <c r="E5" s="711"/>
      <c r="F5" s="711"/>
      <c r="G5" s="711"/>
      <c r="H5" s="711"/>
      <c r="I5" s="842"/>
      <c r="J5" s="842"/>
      <c r="K5" s="842"/>
      <c r="L5" s="842"/>
      <c r="M5" s="842"/>
      <c r="N5" s="842"/>
      <c r="O5" s="842"/>
      <c r="P5" s="842"/>
      <c r="Q5" s="843"/>
    </row>
    <row r="6" spans="1:18" ht="10.050000000000001" customHeight="1">
      <c r="A6" s="223"/>
      <c r="B6" s="223"/>
      <c r="C6" s="223"/>
      <c r="D6" s="223"/>
      <c r="E6" s="223"/>
      <c r="F6" s="223"/>
      <c r="G6" s="223"/>
      <c r="H6" s="223"/>
      <c r="I6" s="224"/>
      <c r="J6" s="224"/>
      <c r="K6" s="224"/>
      <c r="L6" s="224"/>
      <c r="M6" s="224"/>
      <c r="N6" s="224"/>
      <c r="O6" s="224"/>
      <c r="P6" s="224"/>
      <c r="Q6" s="224"/>
    </row>
    <row r="7" spans="1:18" ht="10.050000000000001" customHeight="1" thickBot="1">
      <c r="A7" s="225"/>
      <c r="B7" s="225"/>
      <c r="C7" s="225"/>
      <c r="D7" s="225"/>
      <c r="E7" s="225"/>
      <c r="F7" s="225"/>
      <c r="G7" s="225"/>
      <c r="H7" s="225"/>
      <c r="I7" s="225"/>
      <c r="J7" s="225"/>
      <c r="K7" s="225"/>
      <c r="L7" s="225"/>
      <c r="M7" s="225"/>
      <c r="N7" s="225"/>
      <c r="O7" s="225"/>
      <c r="P7" s="225"/>
      <c r="Q7" s="225"/>
    </row>
    <row r="8" spans="1:18" ht="19.5" customHeight="1" thickBot="1">
      <c r="A8" s="829"/>
      <c r="B8" s="829"/>
      <c r="C8" s="829"/>
      <c r="D8" s="829"/>
      <c r="E8" s="829"/>
      <c r="F8" s="829"/>
      <c r="G8" s="829"/>
      <c r="H8" s="829"/>
      <c r="I8" s="829"/>
      <c r="J8" s="830"/>
      <c r="K8" s="831" t="s">
        <v>1031</v>
      </c>
      <c r="L8" s="829"/>
      <c r="M8" s="829"/>
      <c r="N8" s="829"/>
      <c r="O8" s="829"/>
      <c r="P8" s="829"/>
      <c r="Q8" s="830"/>
    </row>
    <row r="9" spans="1:18" ht="15" thickBot="1">
      <c r="A9" s="827" t="s">
        <v>1032</v>
      </c>
      <c r="B9" s="827" t="s">
        <v>3</v>
      </c>
      <c r="C9" s="827" t="s">
        <v>4</v>
      </c>
      <c r="D9" s="827" t="s">
        <v>1033</v>
      </c>
      <c r="E9" s="833" t="s">
        <v>1034</v>
      </c>
      <c r="F9" s="833"/>
      <c r="G9" s="833"/>
      <c r="H9" s="833"/>
      <c r="I9" s="833"/>
      <c r="J9" s="833"/>
      <c r="K9" s="827" t="s">
        <v>1035</v>
      </c>
      <c r="L9" s="834" t="s">
        <v>5</v>
      </c>
      <c r="M9" s="834"/>
      <c r="N9" s="834"/>
      <c r="O9" s="834"/>
      <c r="P9" s="835"/>
      <c r="Q9" s="827" t="s">
        <v>135</v>
      </c>
      <c r="R9" s="226"/>
    </row>
    <row r="10" spans="1:18" ht="26.25" customHeight="1" thickBot="1">
      <c r="A10" s="832"/>
      <c r="B10" s="832"/>
      <c r="C10" s="832"/>
      <c r="D10" s="832"/>
      <c r="E10" s="827" t="s">
        <v>1036</v>
      </c>
      <c r="F10" s="285" t="s">
        <v>87</v>
      </c>
      <c r="G10" s="285" t="s">
        <v>85</v>
      </c>
      <c r="H10" s="285" t="s">
        <v>83</v>
      </c>
      <c r="I10" s="285" t="s">
        <v>81</v>
      </c>
      <c r="J10" s="285" t="s">
        <v>79</v>
      </c>
      <c r="K10" s="832"/>
      <c r="L10" s="836"/>
      <c r="M10" s="836"/>
      <c r="N10" s="836"/>
      <c r="O10" s="836"/>
      <c r="P10" s="837"/>
      <c r="Q10" s="832"/>
      <c r="R10" s="226"/>
    </row>
    <row r="11" spans="1:18" ht="15" thickBot="1">
      <c r="A11" s="828"/>
      <c r="B11" s="828"/>
      <c r="C11" s="828"/>
      <c r="D11" s="828"/>
      <c r="E11" s="828"/>
      <c r="F11" s="287">
        <v>5</v>
      </c>
      <c r="G11" s="287">
        <v>4</v>
      </c>
      <c r="H11" s="287">
        <v>3</v>
      </c>
      <c r="I11" s="287">
        <v>2</v>
      </c>
      <c r="J11" s="287">
        <v>1</v>
      </c>
      <c r="K11" s="828"/>
      <c r="L11" s="286" t="s">
        <v>1385</v>
      </c>
      <c r="M11" s="286" t="s">
        <v>1386</v>
      </c>
      <c r="N11" s="286" t="s">
        <v>138</v>
      </c>
      <c r="O11" s="286" t="s">
        <v>139</v>
      </c>
      <c r="P11" s="286" t="s">
        <v>140</v>
      </c>
      <c r="Q11" s="828"/>
      <c r="R11" s="226"/>
    </row>
    <row r="12" spans="1:18" ht="97.05" customHeight="1">
      <c r="A12" s="754" t="s">
        <v>12</v>
      </c>
      <c r="B12" s="727" t="s">
        <v>31</v>
      </c>
      <c r="C12" s="730" t="s">
        <v>11</v>
      </c>
      <c r="D12" s="733">
        <v>6.7857142859999997E-2</v>
      </c>
      <c r="E12" s="230" t="s">
        <v>6</v>
      </c>
      <c r="F12" s="231" t="s">
        <v>1143</v>
      </c>
      <c r="G12" s="231" t="s">
        <v>1144</v>
      </c>
      <c r="H12" s="231" t="s">
        <v>1145</v>
      </c>
      <c r="I12" s="231" t="s">
        <v>1146</v>
      </c>
      <c r="J12" s="231" t="s">
        <v>1147</v>
      </c>
      <c r="K12" s="232" t="str" cm="1">
        <f t="array" aca="1" ref="K12" ca="1">IFERROR(INDEX(F12:J12,6-L12),"")</f>
        <v>Demonstrated Level 8 in the PPST Indicator as shown in the COT rating sheets presented</v>
      </c>
      <c r="L12" s="734">
        <f ca="1">'Encoding Part 1'!I14</f>
        <v>5</v>
      </c>
      <c r="M12" s="820">
        <f>'Encoding Part 1'!J14</f>
        <v>0</v>
      </c>
      <c r="N12" s="737">
        <f>'Encoding Part 1'!K14</f>
        <v>0</v>
      </c>
      <c r="O12" s="737">
        <f>'Encoding Part 1'!L14</f>
        <v>0</v>
      </c>
      <c r="P12" s="748">
        <f ca="1">'Encoding Part 1'!M14</f>
        <v>5</v>
      </c>
      <c r="Q12" s="751">
        <f ca="1">'Encoding Part 1'!N14</f>
        <v>0.33928999999999998</v>
      </c>
      <c r="R12" s="226"/>
    </row>
    <row r="13" spans="1:18">
      <c r="A13" s="754"/>
      <c r="B13" s="728"/>
      <c r="C13" s="731"/>
      <c r="D13" s="731"/>
      <c r="E13" s="233" t="s">
        <v>7</v>
      </c>
      <c r="F13" s="234"/>
      <c r="G13" s="235"/>
      <c r="H13" s="235"/>
      <c r="I13" s="235"/>
      <c r="J13" s="235"/>
      <c r="K13" s="236" t="str" cm="1">
        <f t="array" ref="K13">IFERROR(INDEX(F13:J13,6-N12),"")</f>
        <v/>
      </c>
      <c r="L13" s="735"/>
      <c r="M13" s="818"/>
      <c r="N13" s="738"/>
      <c r="O13" s="738"/>
      <c r="P13" s="749"/>
      <c r="Q13" s="752"/>
      <c r="R13" s="226"/>
    </row>
    <row r="14" spans="1:18" ht="15" thickBot="1">
      <c r="A14" s="754"/>
      <c r="B14" s="729"/>
      <c r="C14" s="732"/>
      <c r="D14" s="732"/>
      <c r="E14" s="237" t="s">
        <v>2</v>
      </c>
      <c r="F14" s="238"/>
      <c r="G14" s="239"/>
      <c r="H14" s="239"/>
      <c r="I14" s="239"/>
      <c r="J14" s="239"/>
      <c r="K14" s="240" t="str" cm="1">
        <f t="array" ref="K14">IFERROR(INDEX(F14:J14,6-O12),"")</f>
        <v/>
      </c>
      <c r="L14" s="736"/>
      <c r="M14" s="819"/>
      <c r="N14" s="739"/>
      <c r="O14" s="739"/>
      <c r="P14" s="750"/>
      <c r="Q14" s="753"/>
      <c r="R14" s="226"/>
    </row>
    <row r="15" spans="1:18" ht="75.45" customHeight="1" thickBot="1">
      <c r="A15" s="754"/>
      <c r="B15" s="756" t="s">
        <v>32</v>
      </c>
      <c r="C15" s="730" t="s">
        <v>11</v>
      </c>
      <c r="D15" s="733">
        <v>6.7857142859999997E-2</v>
      </c>
      <c r="E15" s="230" t="s">
        <v>125</v>
      </c>
      <c r="F15" s="231" t="s">
        <v>1143</v>
      </c>
      <c r="G15" s="231" t="s">
        <v>1144</v>
      </c>
      <c r="H15" s="231" t="s">
        <v>1145</v>
      </c>
      <c r="I15" s="231" t="s">
        <v>1146</v>
      </c>
      <c r="J15" s="231" t="s">
        <v>1147</v>
      </c>
      <c r="K15" s="232" t="str" cm="1">
        <f t="array" aca="1" ref="K15" ca="1">IFERROR(INDEX(F15:J15,6-L15),"")</f>
        <v>Demonstrated Level 8 in the PPST Indicator as shown in the COT rating sheets presented</v>
      </c>
      <c r="L15" s="823">
        <f ca="1">'Encoding Part 1'!I15</f>
        <v>5</v>
      </c>
      <c r="M15" s="823">
        <f>'Encoding Part 1'!J15</f>
        <v>0</v>
      </c>
      <c r="N15" s="826">
        <f>'Encoding Part 1'!K15</f>
        <v>0</v>
      </c>
      <c r="O15" s="826">
        <f>'Encoding Part 1'!L15</f>
        <v>0</v>
      </c>
      <c r="P15" s="748">
        <f ca="1">'Encoding Part 1'!M15</f>
        <v>5</v>
      </c>
      <c r="Q15" s="751">
        <f ca="1">'Encoding Part 1'!N15</f>
        <v>0.33928999999999998</v>
      </c>
      <c r="R15" s="226"/>
    </row>
    <row r="16" spans="1:18" ht="179.55" customHeight="1">
      <c r="A16" s="754"/>
      <c r="B16" s="765"/>
      <c r="C16" s="766"/>
      <c r="D16" s="767"/>
      <c r="E16" s="288" t="s">
        <v>126</v>
      </c>
      <c r="F16" s="231" t="s">
        <v>1148</v>
      </c>
      <c r="G16" s="231" t="s">
        <v>1149</v>
      </c>
      <c r="H16" s="231" t="s">
        <v>1150</v>
      </c>
      <c r="I16" s="231" t="s">
        <v>1151</v>
      </c>
      <c r="J16" s="231" t="s">
        <v>1094</v>
      </c>
      <c r="K16" s="232" t="str">
        <f>F16</f>
        <v>Led the utilization/ adoption of refined/ enhanced strategies that promote learner achievement in Literacy and Numeracy as evidenced by MOV 4</v>
      </c>
      <c r="L16" s="824"/>
      <c r="M16" s="824"/>
      <c r="N16" s="822"/>
      <c r="O16" s="822"/>
      <c r="P16" s="763"/>
      <c r="Q16" s="764"/>
      <c r="R16" s="226"/>
    </row>
    <row r="17" spans="1:18">
      <c r="A17" s="754"/>
      <c r="B17" s="757"/>
      <c r="C17" s="731"/>
      <c r="D17" s="731"/>
      <c r="E17" s="233" t="s">
        <v>7</v>
      </c>
      <c r="F17" s="234"/>
      <c r="G17" s="235"/>
      <c r="H17" s="235"/>
      <c r="I17" s="235"/>
      <c r="J17" s="235"/>
      <c r="K17" s="236" t="str" cm="1">
        <f t="array" ref="K17">IFERROR(INDEX(F17:J17,6-N15),"")</f>
        <v/>
      </c>
      <c r="L17" s="824"/>
      <c r="M17" s="824"/>
      <c r="N17" s="738"/>
      <c r="O17" s="738"/>
      <c r="P17" s="749"/>
      <c r="Q17" s="752"/>
      <c r="R17" s="226"/>
    </row>
    <row r="18" spans="1:18" ht="15" thickBot="1">
      <c r="A18" s="754"/>
      <c r="B18" s="758"/>
      <c r="C18" s="732"/>
      <c r="D18" s="732"/>
      <c r="E18" s="237" t="s">
        <v>2</v>
      </c>
      <c r="F18" s="238"/>
      <c r="G18" s="239"/>
      <c r="H18" s="239"/>
      <c r="I18" s="239"/>
      <c r="J18" s="239"/>
      <c r="K18" s="239" t="str" cm="1">
        <f t="array" ref="K18">IFERROR(INDEX(F18:J18,6-O15),"")</f>
        <v/>
      </c>
      <c r="L18" s="825"/>
      <c r="M18" s="825"/>
      <c r="N18" s="739"/>
      <c r="O18" s="739"/>
      <c r="P18" s="750"/>
      <c r="Q18" s="753"/>
      <c r="R18" s="226"/>
    </row>
    <row r="19" spans="1:18" ht="118.05" customHeight="1">
      <c r="A19" s="754"/>
      <c r="B19" s="727" t="s">
        <v>33</v>
      </c>
      <c r="C19" s="730" t="s">
        <v>11</v>
      </c>
      <c r="D19" s="733">
        <v>6.7857142859999997E-2</v>
      </c>
      <c r="E19" s="230" t="s">
        <v>6</v>
      </c>
      <c r="F19" s="231" t="s">
        <v>1143</v>
      </c>
      <c r="G19" s="231" t="s">
        <v>1144</v>
      </c>
      <c r="H19" s="231" t="s">
        <v>1145</v>
      </c>
      <c r="I19" s="231" t="s">
        <v>1146</v>
      </c>
      <c r="J19" s="231" t="s">
        <v>1147</v>
      </c>
      <c r="K19" s="232" t="str" cm="1">
        <f t="array" aca="1" ref="K19" ca="1">IFERROR(INDEX(F19:J19,6-L19),"")</f>
        <v>Demonstrated Level 8 in the PPST Indicator as shown in the COT rating sheets presented</v>
      </c>
      <c r="L19" s="734">
        <f ca="1">'Encoding Part 1'!I16</f>
        <v>5</v>
      </c>
      <c r="M19" s="820"/>
      <c r="N19" s="737">
        <f>'Encoding Part 1'!K16</f>
        <v>0</v>
      </c>
      <c r="O19" s="737">
        <f>'Encoding Part 1'!L16</f>
        <v>0</v>
      </c>
      <c r="P19" s="748">
        <f ca="1">'Encoding Part 1'!M16</f>
        <v>5</v>
      </c>
      <c r="Q19" s="751">
        <f ca="1">'Encoding Part 1'!N16</f>
        <v>0.33928999999999998</v>
      </c>
      <c r="R19" s="226"/>
    </row>
    <row r="20" spans="1:18" ht="15.45" customHeight="1">
      <c r="A20" s="754"/>
      <c r="B20" s="728"/>
      <c r="C20" s="731"/>
      <c r="D20" s="731"/>
      <c r="E20" s="233" t="s">
        <v>7</v>
      </c>
      <c r="F20" s="234"/>
      <c r="G20" s="235"/>
      <c r="H20" s="235"/>
      <c r="I20" s="235"/>
      <c r="J20" s="235"/>
      <c r="K20" s="236" t="str" cm="1">
        <f t="array" ref="K20">IFERROR(INDEX(F20:J20,6-N19),"")</f>
        <v/>
      </c>
      <c r="L20" s="735"/>
      <c r="M20" s="818"/>
      <c r="N20" s="738"/>
      <c r="O20" s="738"/>
      <c r="P20" s="749"/>
      <c r="Q20" s="752"/>
      <c r="R20" s="226"/>
    </row>
    <row r="21" spans="1:18" ht="15.45" customHeight="1" thickBot="1">
      <c r="A21" s="755"/>
      <c r="B21" s="729"/>
      <c r="C21" s="732"/>
      <c r="D21" s="732"/>
      <c r="E21" s="237" t="s">
        <v>2</v>
      </c>
      <c r="F21" s="238"/>
      <c r="G21" s="239"/>
      <c r="H21" s="239"/>
      <c r="I21" s="239"/>
      <c r="J21" s="239"/>
      <c r="K21" s="239" t="str" cm="1">
        <f t="array" ref="K21">IFERROR(INDEX(F21:J21,6-O19),"")</f>
        <v/>
      </c>
      <c r="L21" s="736"/>
      <c r="M21" s="819"/>
      <c r="N21" s="739"/>
      <c r="O21" s="739"/>
      <c r="P21" s="750"/>
      <c r="Q21" s="753"/>
      <c r="R21" s="226"/>
    </row>
    <row r="22" spans="1:18" ht="76.05" customHeight="1">
      <c r="A22" s="759" t="s">
        <v>16</v>
      </c>
      <c r="B22" s="756" t="s">
        <v>34</v>
      </c>
      <c r="C22" s="730" t="s">
        <v>11</v>
      </c>
      <c r="D22" s="733">
        <v>6.7857142859999997E-2</v>
      </c>
      <c r="E22" s="230" t="s">
        <v>125</v>
      </c>
      <c r="F22" s="231" t="s">
        <v>1143</v>
      </c>
      <c r="G22" s="231" t="s">
        <v>1144</v>
      </c>
      <c r="H22" s="231" t="s">
        <v>1145</v>
      </c>
      <c r="I22" s="231" t="s">
        <v>1146</v>
      </c>
      <c r="J22" s="231" t="s">
        <v>1147</v>
      </c>
      <c r="K22" s="232" t="str" cm="1">
        <f t="array" aca="1" ref="K22" ca="1">IFERROR(INDEX(F22:J22,6-L22),"")</f>
        <v>Demonstrated Level 8 in the PPST Indicator as shown in the COT rating sheets presented</v>
      </c>
      <c r="L22" s="734">
        <f ca="1">'Encoding Part 1'!I17</f>
        <v>5</v>
      </c>
      <c r="M22" s="734">
        <f>'Encoding Part 1'!J17</f>
        <v>0</v>
      </c>
      <c r="N22" s="737">
        <f>'Encoding Part 1'!K17</f>
        <v>0</v>
      </c>
      <c r="O22" s="737">
        <f>'Encoding Part 1'!L17</f>
        <v>0</v>
      </c>
      <c r="P22" s="748">
        <f ca="1">'Encoding Part 1'!M17</f>
        <v>5</v>
      </c>
      <c r="Q22" s="751">
        <f ca="1">'Encoding Part 1'!N17</f>
        <v>0.33928999999999998</v>
      </c>
      <c r="R22" s="226"/>
    </row>
    <row r="23" spans="1:18" ht="233.55" customHeight="1">
      <c r="A23" s="754"/>
      <c r="B23" s="765"/>
      <c r="C23" s="766"/>
      <c r="D23" s="767"/>
      <c r="E23" s="288" t="s">
        <v>126</v>
      </c>
      <c r="F23" s="231" t="s">
        <v>1152</v>
      </c>
      <c r="G23" s="231" t="s">
        <v>1153</v>
      </c>
      <c r="H23" s="231" t="s">
        <v>1154</v>
      </c>
      <c r="I23" s="231" t="s">
        <v>1155</v>
      </c>
      <c r="J23" s="231" t="s">
        <v>1094</v>
      </c>
      <c r="K23" s="289"/>
      <c r="L23" s="821"/>
      <c r="M23" s="821"/>
      <c r="N23" s="822"/>
      <c r="O23" s="822"/>
      <c r="P23" s="763"/>
      <c r="Q23" s="764"/>
      <c r="R23" s="226"/>
    </row>
    <row r="24" spans="1:18">
      <c r="A24" s="754"/>
      <c r="B24" s="757"/>
      <c r="C24" s="731"/>
      <c r="D24" s="731"/>
      <c r="E24" s="233" t="s">
        <v>7</v>
      </c>
      <c r="F24" s="234"/>
      <c r="G24" s="235"/>
      <c r="H24" s="235"/>
      <c r="I24" s="235"/>
      <c r="J24" s="235"/>
      <c r="K24" s="236" t="str" cm="1">
        <f t="array" ref="K24">IFERROR(INDEX(F24:J24,6-N22),"")</f>
        <v/>
      </c>
      <c r="L24" s="735"/>
      <c r="M24" s="735"/>
      <c r="N24" s="738"/>
      <c r="O24" s="738"/>
      <c r="P24" s="749"/>
      <c r="Q24" s="752"/>
      <c r="R24" s="226"/>
    </row>
    <row r="25" spans="1:18" ht="15" thickBot="1">
      <c r="A25" s="754"/>
      <c r="B25" s="758"/>
      <c r="C25" s="732"/>
      <c r="D25" s="732"/>
      <c r="E25" s="237" t="s">
        <v>2</v>
      </c>
      <c r="F25" s="241"/>
      <c r="G25" s="239"/>
      <c r="H25" s="239"/>
      <c r="I25" s="239"/>
      <c r="J25" s="239"/>
      <c r="K25" s="239" t="str" cm="1">
        <f t="array" ref="K25">IFERROR(INDEX(F25:J25,6-O22),"")</f>
        <v/>
      </c>
      <c r="L25" s="736"/>
      <c r="M25" s="736"/>
      <c r="N25" s="739"/>
      <c r="O25" s="739"/>
      <c r="P25" s="750"/>
      <c r="Q25" s="753"/>
      <c r="R25" s="226"/>
    </row>
    <row r="26" spans="1:18" ht="135.44999999999999" customHeight="1">
      <c r="A26" s="754"/>
      <c r="B26" s="727" t="s">
        <v>35</v>
      </c>
      <c r="C26" s="730" t="s">
        <v>11</v>
      </c>
      <c r="D26" s="733">
        <v>6.7857142859999997E-2</v>
      </c>
      <c r="E26" s="230" t="s">
        <v>6</v>
      </c>
      <c r="F26" s="231" t="s">
        <v>1143</v>
      </c>
      <c r="G26" s="231" t="s">
        <v>1144</v>
      </c>
      <c r="H26" s="231" t="s">
        <v>1145</v>
      </c>
      <c r="I26" s="231" t="s">
        <v>1146</v>
      </c>
      <c r="J26" s="231" t="s">
        <v>1147</v>
      </c>
      <c r="K26" s="232" t="str" cm="1">
        <f t="array" aca="1" ref="K26" ca="1">IFERROR(INDEX(F26:J26,6-L26),"")</f>
        <v>Demonstrated Level 8 in the PPST Indicator as shown in the COT rating sheets presented</v>
      </c>
      <c r="L26" s="734">
        <f ca="1">'Encoding Part 1'!I18</f>
        <v>5</v>
      </c>
      <c r="M26" s="820"/>
      <c r="N26" s="737">
        <f>'Encoding Part 1'!K18</f>
        <v>0</v>
      </c>
      <c r="O26" s="737">
        <f>'Encoding Part 1'!L18</f>
        <v>0</v>
      </c>
      <c r="P26" s="748">
        <f ca="1">'Encoding Part 1'!M18</f>
        <v>5</v>
      </c>
      <c r="Q26" s="751">
        <f ca="1">'Encoding Part 1'!N18</f>
        <v>0.33928999999999998</v>
      </c>
      <c r="R26" s="226"/>
    </row>
    <row r="27" spans="1:18">
      <c r="A27" s="754"/>
      <c r="B27" s="728"/>
      <c r="C27" s="731"/>
      <c r="D27" s="731"/>
      <c r="E27" s="233" t="s">
        <v>7</v>
      </c>
      <c r="F27" s="234"/>
      <c r="G27" s="235"/>
      <c r="H27" s="235"/>
      <c r="I27" s="235"/>
      <c r="J27" s="235"/>
      <c r="K27" s="236" t="str" cm="1">
        <f t="array" ref="K27">IFERROR(INDEX(F27:J27,6-N26),"")</f>
        <v/>
      </c>
      <c r="L27" s="735"/>
      <c r="M27" s="818"/>
      <c r="N27" s="738"/>
      <c r="O27" s="738"/>
      <c r="P27" s="749"/>
      <c r="Q27" s="752"/>
      <c r="R27" s="226"/>
    </row>
    <row r="28" spans="1:18" ht="15" thickBot="1">
      <c r="A28" s="755"/>
      <c r="B28" s="729"/>
      <c r="C28" s="732"/>
      <c r="D28" s="732"/>
      <c r="E28" s="237" t="s">
        <v>2</v>
      </c>
      <c r="F28" s="238"/>
      <c r="G28" s="239"/>
      <c r="H28" s="239"/>
      <c r="I28" s="239"/>
      <c r="J28" s="239"/>
      <c r="K28" s="239" t="str" cm="1">
        <f t="array" ref="K28">IFERROR(INDEX(F28:J28,6-O26),"")</f>
        <v/>
      </c>
      <c r="L28" s="736"/>
      <c r="M28" s="819"/>
      <c r="N28" s="739"/>
      <c r="O28" s="739"/>
      <c r="P28" s="750"/>
      <c r="Q28" s="753"/>
      <c r="R28" s="226"/>
    </row>
    <row r="29" spans="1:18" ht="76.05" customHeight="1">
      <c r="A29" s="759" t="s">
        <v>19</v>
      </c>
      <c r="B29" s="756" t="s">
        <v>36</v>
      </c>
      <c r="C29" s="730" t="s">
        <v>11</v>
      </c>
      <c r="D29" s="733">
        <v>6.7857142859999997E-2</v>
      </c>
      <c r="E29" s="230" t="s">
        <v>125</v>
      </c>
      <c r="F29" s="231" t="s">
        <v>1143</v>
      </c>
      <c r="G29" s="231" t="s">
        <v>1144</v>
      </c>
      <c r="H29" s="231" t="s">
        <v>1145</v>
      </c>
      <c r="I29" s="231" t="s">
        <v>1146</v>
      </c>
      <c r="J29" s="231" t="s">
        <v>1147</v>
      </c>
      <c r="K29" s="232" t="str" cm="1">
        <f t="array" aca="1" ref="K29" ca="1">IFERROR(INDEX(F29:J29,6-L29),"")</f>
        <v>Demonstrated Level 7 in the PPST Indicator as shown in COT rating sheets presented</v>
      </c>
      <c r="L29" s="734">
        <f ca="1">'Encoding Part 1'!I19</f>
        <v>4</v>
      </c>
      <c r="M29" s="734">
        <f>'Encoding Part 1'!J19</f>
        <v>0</v>
      </c>
      <c r="N29" s="737">
        <f>'Encoding Part 1'!K19</f>
        <v>0</v>
      </c>
      <c r="O29" s="737">
        <f>'Encoding Part 1'!L19</f>
        <v>0</v>
      </c>
      <c r="P29" s="748">
        <f ca="1">'Encoding Part 1'!M19</f>
        <v>4</v>
      </c>
      <c r="Q29" s="751">
        <f ca="1">'Encoding Part 1'!N19</f>
        <v>0.27143</v>
      </c>
      <c r="R29" s="226"/>
    </row>
    <row r="30" spans="1:18" ht="254.55" customHeight="1">
      <c r="A30" s="754"/>
      <c r="B30" s="765"/>
      <c r="C30" s="766"/>
      <c r="D30" s="767"/>
      <c r="E30" s="288" t="s">
        <v>126</v>
      </c>
      <c r="F30" s="231" t="s">
        <v>1156</v>
      </c>
      <c r="G30" s="231" t="s">
        <v>1157</v>
      </c>
      <c r="H30" s="231" t="s">
        <v>1158</v>
      </c>
      <c r="I30" s="231" t="s">
        <v>1159</v>
      </c>
      <c r="J30" s="231" t="s">
        <v>1094</v>
      </c>
      <c r="K30" s="289"/>
      <c r="L30" s="821"/>
      <c r="M30" s="821"/>
      <c r="N30" s="822"/>
      <c r="O30" s="822"/>
      <c r="P30" s="763"/>
      <c r="Q30" s="764"/>
      <c r="R30" s="226"/>
    </row>
    <row r="31" spans="1:18" ht="15.45" customHeight="1">
      <c r="A31" s="754"/>
      <c r="B31" s="757"/>
      <c r="C31" s="731"/>
      <c r="D31" s="731"/>
      <c r="E31" s="233" t="s">
        <v>7</v>
      </c>
      <c r="F31" s="234"/>
      <c r="G31" s="235"/>
      <c r="H31" s="235"/>
      <c r="I31" s="235"/>
      <c r="J31" s="235"/>
      <c r="K31" s="236" t="str" cm="1">
        <f t="array" ref="K31">IFERROR(INDEX(F31:J31,6-N29),"")</f>
        <v/>
      </c>
      <c r="L31" s="735"/>
      <c r="M31" s="735"/>
      <c r="N31" s="738"/>
      <c r="O31" s="738"/>
      <c r="P31" s="749"/>
      <c r="Q31" s="752"/>
      <c r="R31" s="226"/>
    </row>
    <row r="32" spans="1:18" ht="15.45" customHeight="1" thickBot="1">
      <c r="A32" s="755"/>
      <c r="B32" s="758"/>
      <c r="C32" s="732"/>
      <c r="D32" s="732"/>
      <c r="E32" s="237" t="s">
        <v>2</v>
      </c>
      <c r="F32" s="238"/>
      <c r="G32" s="239"/>
      <c r="H32" s="239"/>
      <c r="I32" s="239"/>
      <c r="J32" s="239"/>
      <c r="K32" s="239" t="str" cm="1">
        <f t="array" ref="K32">IFERROR(INDEX(F32:J32,6-O29),"")</f>
        <v/>
      </c>
      <c r="L32" s="736"/>
      <c r="M32" s="736"/>
      <c r="N32" s="739"/>
      <c r="O32" s="739"/>
      <c r="P32" s="750"/>
      <c r="Q32" s="753"/>
      <c r="R32" s="226"/>
    </row>
    <row r="33" spans="1:18" ht="169.95" customHeight="1">
      <c r="A33" s="759" t="s">
        <v>21</v>
      </c>
      <c r="B33" s="727" t="s">
        <v>37</v>
      </c>
      <c r="C33" s="730" t="s">
        <v>11</v>
      </c>
      <c r="D33" s="733">
        <v>6.7857142859999997E-2</v>
      </c>
      <c r="E33" s="230" t="s">
        <v>6</v>
      </c>
      <c r="F33" s="231" t="s">
        <v>1143</v>
      </c>
      <c r="G33" s="231" t="s">
        <v>1144</v>
      </c>
      <c r="H33" s="231" t="s">
        <v>1145</v>
      </c>
      <c r="I33" s="231" t="s">
        <v>1146</v>
      </c>
      <c r="J33" s="231" t="s">
        <v>1147</v>
      </c>
      <c r="K33" s="232" t="str" cm="1">
        <f t="array" aca="1" ref="K33" ca="1">IFERROR(INDEX(F33:J33,6-L33),"")</f>
        <v>Demonstrated Level 8 in the PPST Indicator as shown in the COT rating sheets presented</v>
      </c>
      <c r="L33" s="734">
        <f ca="1">'Encoding Part 1'!I20</f>
        <v>5</v>
      </c>
      <c r="M33" s="820"/>
      <c r="N33" s="737">
        <f>'Encoding Part 1'!K20</f>
        <v>0</v>
      </c>
      <c r="O33" s="737">
        <f>'Encoding Part 1'!L20</f>
        <v>0</v>
      </c>
      <c r="P33" s="748">
        <f ca="1">'Encoding Part 1'!M20</f>
        <v>5</v>
      </c>
      <c r="Q33" s="751">
        <f ca="1">'Encoding Part 1'!N20</f>
        <v>0.33928999999999998</v>
      </c>
      <c r="R33" s="226"/>
    </row>
    <row r="34" spans="1:18" ht="15.45" customHeight="1">
      <c r="A34" s="754"/>
      <c r="B34" s="728"/>
      <c r="C34" s="731"/>
      <c r="D34" s="731"/>
      <c r="E34" s="233" t="s">
        <v>7</v>
      </c>
      <c r="F34" s="234"/>
      <c r="G34" s="235"/>
      <c r="H34" s="235"/>
      <c r="I34" s="235"/>
      <c r="J34" s="235"/>
      <c r="K34" s="236" t="str" cm="1">
        <f t="array" ref="K34">IFERROR(INDEX(F34:J34,6-N33),"")</f>
        <v/>
      </c>
      <c r="L34" s="735"/>
      <c r="M34" s="818"/>
      <c r="N34" s="738"/>
      <c r="O34" s="738"/>
      <c r="P34" s="749"/>
      <c r="Q34" s="752"/>
      <c r="R34" s="226"/>
    </row>
    <row r="35" spans="1:18" ht="15.45" customHeight="1" thickBot="1">
      <c r="A35" s="754"/>
      <c r="B35" s="729"/>
      <c r="C35" s="732"/>
      <c r="D35" s="732"/>
      <c r="E35" s="237" t="s">
        <v>2</v>
      </c>
      <c r="F35" s="238"/>
      <c r="G35" s="239"/>
      <c r="H35" s="239"/>
      <c r="I35" s="239"/>
      <c r="J35" s="239"/>
      <c r="K35" s="239" t="str" cm="1">
        <f t="array" ref="K35">IFERROR(INDEX(F35:J35,6-O33),"")</f>
        <v/>
      </c>
      <c r="L35" s="736"/>
      <c r="M35" s="819"/>
      <c r="N35" s="739"/>
      <c r="O35" s="739"/>
      <c r="P35" s="750"/>
      <c r="Q35" s="753"/>
      <c r="R35" s="226"/>
    </row>
    <row r="36" spans="1:18" ht="192" customHeight="1">
      <c r="A36" s="754"/>
      <c r="B36" s="727" t="s">
        <v>38</v>
      </c>
      <c r="C36" s="730" t="s">
        <v>11</v>
      </c>
      <c r="D36" s="733">
        <v>6.7857142859999997E-2</v>
      </c>
      <c r="E36" s="230" t="s">
        <v>6</v>
      </c>
      <c r="F36" s="296" t="s">
        <v>1160</v>
      </c>
      <c r="G36" s="296" t="s">
        <v>1161</v>
      </c>
      <c r="H36" s="296" t="s">
        <v>1162</v>
      </c>
      <c r="I36" s="296" t="s">
        <v>1163</v>
      </c>
      <c r="J36" s="296" t="s">
        <v>1094</v>
      </c>
      <c r="K36" s="232" t="str" cm="1">
        <f t="array" ref="K36">IFERROR(INDEX(F36:J36,6-L36),"")</f>
        <v>Guided colleagues in planning, facilitating and enriching teaching practice through the teacher and learner feedback reviewed during LAC sessions/ meetings/other collegial discussions, as evidenced by MOV 4</v>
      </c>
      <c r="L36" s="734">
        <f>'Encoding Part 1'!I21</f>
        <v>5</v>
      </c>
      <c r="M36" s="820"/>
      <c r="N36" s="737">
        <f>'Encoding Part 1'!K21</f>
        <v>0</v>
      </c>
      <c r="O36" s="760">
        <f>'Encoding Part 1'!L21</f>
        <v>4</v>
      </c>
      <c r="P36" s="748">
        <f>'Encoding Part 1'!M21</f>
        <v>4.5</v>
      </c>
      <c r="Q36" s="751">
        <f>'Encoding Part 1'!N21</f>
        <v>0.30536000000000002</v>
      </c>
      <c r="R36" s="226"/>
    </row>
    <row r="37" spans="1:18">
      <c r="A37" s="754"/>
      <c r="B37" s="728"/>
      <c r="C37" s="731"/>
      <c r="D37" s="731"/>
      <c r="E37" s="233" t="s">
        <v>7</v>
      </c>
      <c r="F37" s="234"/>
      <c r="G37" s="235"/>
      <c r="H37" s="235"/>
      <c r="I37" s="235"/>
      <c r="J37" s="235"/>
      <c r="K37" s="236" t="str" cm="1">
        <f t="array" ref="K37">IFERROR(INDEX(F37:J37,6-N36),"")</f>
        <v/>
      </c>
      <c r="L37" s="735"/>
      <c r="M37" s="818"/>
      <c r="N37" s="738"/>
      <c r="O37" s="761"/>
      <c r="P37" s="749"/>
      <c r="Q37" s="752"/>
      <c r="R37" s="226"/>
    </row>
    <row r="38" spans="1:18" ht="100.95" customHeight="1" thickBot="1">
      <c r="A38" s="754"/>
      <c r="B38" s="729"/>
      <c r="C38" s="732"/>
      <c r="D38" s="732"/>
      <c r="E38" s="237" t="s">
        <v>2</v>
      </c>
      <c r="F38" s="297" t="s">
        <v>1164</v>
      </c>
      <c r="G38" s="297" t="s">
        <v>1165</v>
      </c>
      <c r="H38" s="297" t="s">
        <v>1166</v>
      </c>
      <c r="I38" s="297" t="s">
        <v>1167</v>
      </c>
      <c r="J38" s="297" t="s">
        <v>1094</v>
      </c>
      <c r="K38" s="243" t="str" cm="1">
        <f t="array" ref="K38">IFERROR(INDEX(F38:J38,6-O36),"")</f>
        <v>Facilitated LAC sessions/ meetings/other collegial discussions on reviewing teacher and learner feedback across 3 quarters</v>
      </c>
      <c r="L38" s="736"/>
      <c r="M38" s="819"/>
      <c r="N38" s="739"/>
      <c r="O38" s="762"/>
      <c r="P38" s="750"/>
      <c r="Q38" s="753"/>
      <c r="R38" s="226"/>
    </row>
    <row r="39" spans="1:18" ht="87" customHeight="1">
      <c r="A39" s="754"/>
      <c r="B39" s="765" t="s">
        <v>39</v>
      </c>
      <c r="C39" s="766" t="s">
        <v>11</v>
      </c>
      <c r="D39" s="767">
        <v>6.7857142859999997E-2</v>
      </c>
      <c r="E39" s="288" t="s">
        <v>125</v>
      </c>
      <c r="F39" s="463" t="s">
        <v>1143</v>
      </c>
      <c r="G39" s="463" t="s">
        <v>1144</v>
      </c>
      <c r="H39" s="463" t="s">
        <v>1145</v>
      </c>
      <c r="I39" s="463" t="s">
        <v>1146</v>
      </c>
      <c r="J39" s="463" t="s">
        <v>1147</v>
      </c>
      <c r="K39" s="289" t="str" cm="1">
        <f t="array" aca="1" ref="K39" ca="1">IFERROR(INDEX(F39:J39,6-L39),"")</f>
        <v>Demonstrated Level 8 in the PPST Indicator as shown in the COT rating sheets presented</v>
      </c>
      <c r="L39" s="768">
        <f ca="1">'Encoding Part 1'!I22</f>
        <v>5</v>
      </c>
      <c r="M39" s="768">
        <f>'Encoding Part 1'!J22</f>
        <v>0</v>
      </c>
      <c r="N39" s="769">
        <f>'Encoding Part 1'!K22</f>
        <v>0</v>
      </c>
      <c r="O39" s="769">
        <f>'Encoding Part 1'!L22</f>
        <v>0</v>
      </c>
      <c r="P39" s="763">
        <f ca="1">'Encoding Part 1'!M22</f>
        <v>5</v>
      </c>
      <c r="Q39" s="764">
        <f ca="1">'Encoding Part 1'!N22</f>
        <v>0.33928999999999998</v>
      </c>
      <c r="R39" s="226"/>
    </row>
    <row r="40" spans="1:18" ht="175.05" customHeight="1">
      <c r="A40" s="754"/>
      <c r="B40" s="765"/>
      <c r="C40" s="766"/>
      <c r="D40" s="767"/>
      <c r="E40" s="288" t="s">
        <v>126</v>
      </c>
      <c r="F40" s="231" t="s">
        <v>1168</v>
      </c>
      <c r="G40" s="231" t="s">
        <v>1169</v>
      </c>
      <c r="H40" s="231" t="s">
        <v>1170</v>
      </c>
      <c r="I40" s="231" t="s">
        <v>1171</v>
      </c>
      <c r="J40" s="231" t="s">
        <v>1094</v>
      </c>
      <c r="K40" s="289"/>
      <c r="L40" s="821"/>
      <c r="M40" s="821"/>
      <c r="N40" s="822"/>
      <c r="O40" s="822"/>
      <c r="P40" s="763"/>
      <c r="Q40" s="764"/>
      <c r="R40" s="226"/>
    </row>
    <row r="41" spans="1:18">
      <c r="A41" s="754"/>
      <c r="B41" s="757"/>
      <c r="C41" s="731"/>
      <c r="D41" s="731"/>
      <c r="E41" s="233" t="s">
        <v>7</v>
      </c>
      <c r="F41" s="234"/>
      <c r="G41" s="235"/>
      <c r="H41" s="235"/>
      <c r="I41" s="235"/>
      <c r="J41" s="235"/>
      <c r="K41" s="236" t="str" cm="1">
        <f t="array" ref="K41">IFERROR(INDEX(F41:J41,6-N39),"")</f>
        <v/>
      </c>
      <c r="L41" s="735"/>
      <c r="M41" s="735"/>
      <c r="N41" s="738"/>
      <c r="O41" s="738"/>
      <c r="P41" s="749"/>
      <c r="Q41" s="752"/>
      <c r="R41" s="226"/>
    </row>
    <row r="42" spans="1:18" ht="15" thickBot="1">
      <c r="A42" s="754"/>
      <c r="B42" s="758"/>
      <c r="C42" s="732"/>
      <c r="D42" s="732"/>
      <c r="E42" s="237" t="s">
        <v>2</v>
      </c>
      <c r="F42" s="245"/>
      <c r="G42" s="239"/>
      <c r="H42" s="239"/>
      <c r="I42" s="239"/>
      <c r="J42" s="239"/>
      <c r="K42" s="239" t="str" cm="1">
        <f t="array" ref="K42">IFERROR(INDEX(F42:J42,6-O39),"")</f>
        <v/>
      </c>
      <c r="L42" s="736"/>
      <c r="M42" s="736"/>
      <c r="N42" s="739"/>
      <c r="O42" s="739"/>
      <c r="P42" s="750"/>
      <c r="Q42" s="753"/>
      <c r="R42" s="226"/>
    </row>
    <row r="43" spans="1:18" ht="76.95" customHeight="1">
      <c r="A43" s="754" t="s">
        <v>25</v>
      </c>
      <c r="B43" s="727" t="s">
        <v>40</v>
      </c>
      <c r="C43" s="730" t="s">
        <v>11</v>
      </c>
      <c r="D43" s="733">
        <v>6.7857142859999997E-2</v>
      </c>
      <c r="E43" s="246" t="s">
        <v>125</v>
      </c>
      <c r="F43" s="231" t="s">
        <v>1143</v>
      </c>
      <c r="G43" s="231" t="s">
        <v>1144</v>
      </c>
      <c r="H43" s="231" t="s">
        <v>1145</v>
      </c>
      <c r="I43" s="231" t="s">
        <v>1146</v>
      </c>
      <c r="J43" s="231" t="s">
        <v>1147</v>
      </c>
      <c r="K43" s="232" t="str" cm="1">
        <f t="array" aca="1" ref="K43" ca="1">IFERROR(INDEX(F43:J43,6-L43),"")</f>
        <v>Demonstrated Level 7 in the PPST Indicator as shown in COT rating sheets presented</v>
      </c>
      <c r="L43" s="734">
        <f ca="1">'Encoding Part 1'!I23</f>
        <v>4</v>
      </c>
      <c r="M43" s="734">
        <f>'Encoding Part 1'!J23</f>
        <v>0</v>
      </c>
      <c r="N43" s="737">
        <f>'Encoding Part 1'!K23</f>
        <v>0</v>
      </c>
      <c r="O43" s="737">
        <f>'Encoding Part 1'!L23</f>
        <v>0</v>
      </c>
      <c r="P43" s="748">
        <f ca="1">'Encoding Part 1'!M23</f>
        <v>4</v>
      </c>
      <c r="Q43" s="751">
        <f ca="1">'Encoding Part 1'!N23</f>
        <v>0.27143</v>
      </c>
      <c r="R43" s="226"/>
    </row>
    <row r="44" spans="1:18" ht="136.05000000000001" customHeight="1">
      <c r="A44" s="754"/>
      <c r="B44" s="770"/>
      <c r="C44" s="766"/>
      <c r="D44" s="767"/>
      <c r="E44" s="290" t="s">
        <v>126</v>
      </c>
      <c r="F44" s="231" t="s">
        <v>1172</v>
      </c>
      <c r="G44" s="231" t="s">
        <v>1173</v>
      </c>
      <c r="H44" s="231" t="s">
        <v>1174</v>
      </c>
      <c r="I44" s="231" t="s">
        <v>1175</v>
      </c>
      <c r="J44" s="231" t="s">
        <v>1094</v>
      </c>
      <c r="K44" s="289"/>
      <c r="L44" s="821"/>
      <c r="M44" s="821"/>
      <c r="N44" s="822"/>
      <c r="O44" s="822"/>
      <c r="P44" s="763"/>
      <c r="Q44" s="764"/>
      <c r="R44" s="226"/>
    </row>
    <row r="45" spans="1:18">
      <c r="A45" s="754"/>
      <c r="B45" s="728"/>
      <c r="C45" s="731"/>
      <c r="D45" s="731"/>
      <c r="E45" s="247" t="s">
        <v>7</v>
      </c>
      <c r="F45" s="234"/>
      <c r="G45" s="235"/>
      <c r="H45" s="235"/>
      <c r="I45" s="235"/>
      <c r="J45" s="235"/>
      <c r="K45" s="236" t="str" cm="1">
        <f t="array" ref="K45">IFERROR(INDEX(F45:J45,6-N43),"")</f>
        <v/>
      </c>
      <c r="L45" s="735"/>
      <c r="M45" s="735"/>
      <c r="N45" s="738"/>
      <c r="O45" s="738"/>
      <c r="P45" s="749"/>
      <c r="Q45" s="752"/>
      <c r="R45" s="226"/>
    </row>
    <row r="46" spans="1:18" ht="15" thickBot="1">
      <c r="A46" s="754"/>
      <c r="B46" s="729"/>
      <c r="C46" s="732"/>
      <c r="D46" s="732"/>
      <c r="E46" s="248" t="s">
        <v>2</v>
      </c>
      <c r="F46" s="249"/>
      <c r="G46" s="239"/>
      <c r="H46" s="239"/>
      <c r="I46" s="239"/>
      <c r="J46" s="239"/>
      <c r="K46" s="239" t="str" cm="1">
        <f t="array" ref="K46">IFERROR(INDEX(F46:J46,6-O43),"")</f>
        <v/>
      </c>
      <c r="L46" s="736"/>
      <c r="M46" s="736"/>
      <c r="N46" s="739"/>
      <c r="O46" s="739"/>
      <c r="P46" s="750"/>
      <c r="Q46" s="753"/>
      <c r="R46" s="226"/>
    </row>
    <row r="47" spans="1:18" ht="178.05" customHeight="1">
      <c r="A47" s="754"/>
      <c r="B47" s="756" t="s">
        <v>41</v>
      </c>
      <c r="C47" s="730" t="s">
        <v>11</v>
      </c>
      <c r="D47" s="733">
        <v>6.7857142859999997E-2</v>
      </c>
      <c r="E47" s="230" t="s">
        <v>6</v>
      </c>
      <c r="F47" s="231" t="s">
        <v>1179</v>
      </c>
      <c r="G47" s="231" t="s">
        <v>1176</v>
      </c>
      <c r="H47" s="231" t="s">
        <v>1177</v>
      </c>
      <c r="I47" s="231" t="s">
        <v>1178</v>
      </c>
      <c r="J47" s="231" t="s">
        <v>1094</v>
      </c>
      <c r="K47" s="232" t="str" cm="1">
        <f t="array" ref="K47">IFERROR(INDEX(F47:J47,6-L47),"")</f>
        <v>Guided colleagues in planning an intervention based on results of the interpretation of monitoring and evaluation
 strategies as evidenced by MOV no. 3, highlighting the planning of intervention of the mentored teacher</v>
      </c>
      <c r="L47" s="734">
        <f>'Encoding Part 1'!I24</f>
        <v>4</v>
      </c>
      <c r="M47" s="820"/>
      <c r="N47" s="737">
        <f>'Encoding Part 1'!K24</f>
        <v>0</v>
      </c>
      <c r="O47" s="737">
        <f>'Encoding Part 1'!L24</f>
        <v>0</v>
      </c>
      <c r="P47" s="748">
        <f>'Encoding Part 1'!M24</f>
        <v>4</v>
      </c>
      <c r="Q47" s="751">
        <f>'Encoding Part 1'!N24</f>
        <v>0.27143</v>
      </c>
      <c r="R47" s="226"/>
    </row>
    <row r="48" spans="1:18">
      <c r="A48" s="754"/>
      <c r="B48" s="757"/>
      <c r="C48" s="731"/>
      <c r="D48" s="731"/>
      <c r="E48" s="233" t="s">
        <v>7</v>
      </c>
      <c r="F48" s="250"/>
      <c r="G48" s="235"/>
      <c r="H48" s="235"/>
      <c r="I48" s="235"/>
      <c r="J48" s="235"/>
      <c r="K48" s="236" t="str" cm="1">
        <f t="array" ref="K48">IFERROR(INDEX(F48:J48,6-N47),"")</f>
        <v/>
      </c>
      <c r="L48" s="735"/>
      <c r="M48" s="818"/>
      <c r="N48" s="738"/>
      <c r="O48" s="738"/>
      <c r="P48" s="749"/>
      <c r="Q48" s="752"/>
      <c r="R48" s="226"/>
    </row>
    <row r="49" spans="1:18" ht="15" thickBot="1">
      <c r="A49" s="754"/>
      <c r="B49" s="758"/>
      <c r="C49" s="732"/>
      <c r="D49" s="732"/>
      <c r="E49" s="237" t="s">
        <v>2</v>
      </c>
      <c r="F49" s="251"/>
      <c r="G49" s="239"/>
      <c r="H49" s="239"/>
      <c r="I49" s="239"/>
      <c r="J49" s="239"/>
      <c r="K49" s="240" t="str" cm="1">
        <f t="array" ref="K49">IFERROR(INDEX(F49:J49,6-O47),"")</f>
        <v/>
      </c>
      <c r="L49" s="736"/>
      <c r="M49" s="819"/>
      <c r="N49" s="739"/>
      <c r="O49" s="739"/>
      <c r="P49" s="750"/>
      <c r="Q49" s="753"/>
      <c r="R49" s="226"/>
    </row>
    <row r="50" spans="1:18" ht="159" customHeight="1">
      <c r="A50" s="754"/>
      <c r="B50" s="727" t="s">
        <v>42</v>
      </c>
      <c r="C50" s="730" t="s">
        <v>11</v>
      </c>
      <c r="D50" s="733">
        <v>6.7857142859999997E-2</v>
      </c>
      <c r="E50" s="246" t="s">
        <v>6</v>
      </c>
      <c r="F50" s="296" t="s">
        <v>1180</v>
      </c>
      <c r="G50" s="296" t="s">
        <v>1181</v>
      </c>
      <c r="H50" s="296" t="s">
        <v>1182</v>
      </c>
      <c r="I50" s="296" t="s">
        <v>1183</v>
      </c>
      <c r="J50" s="296" t="s">
        <v>1094</v>
      </c>
      <c r="K50" s="232" t="str" cm="1">
        <f t="array" ref="K50">IFERROR(INDEX(F50:J50,6-L50),"")</f>
        <v>Sustained the implemented strategies in addressing the identified learners needs, and support progress and achievement based on the communicated information, as shown in the MOV/s submitted</v>
      </c>
      <c r="L50" s="734">
        <f>'Encoding Part 1'!I25</f>
        <v>5</v>
      </c>
      <c r="M50" s="820"/>
      <c r="N50" s="760">
        <f>'Encoding Part 1'!K25</f>
        <v>4</v>
      </c>
      <c r="O50" s="760">
        <f>'Encoding Part 1'!L25</f>
        <v>4</v>
      </c>
      <c r="P50" s="748">
        <f>'Encoding Part 1'!M25</f>
        <v>4.3333000000000004</v>
      </c>
      <c r="Q50" s="751">
        <f>'Encoding Part 1'!N25</f>
        <v>0.29404999999999998</v>
      </c>
      <c r="R50" s="226"/>
    </row>
    <row r="51" spans="1:18" ht="34.5" customHeight="1">
      <c r="A51" s="754"/>
      <c r="B51" s="728"/>
      <c r="C51" s="731"/>
      <c r="D51" s="731"/>
      <c r="E51" s="247" t="s">
        <v>7</v>
      </c>
      <c r="F51" s="231" t="s">
        <v>1107</v>
      </c>
      <c r="G51" s="231" t="s">
        <v>1108</v>
      </c>
      <c r="H51" s="231" t="s">
        <v>1109</v>
      </c>
      <c r="I51" s="231" t="s">
        <v>1110</v>
      </c>
      <c r="J51" s="231" t="s">
        <v>1094</v>
      </c>
      <c r="K51" s="252" t="str" cm="1">
        <f t="array" ref="K51">IFERROR(INDEX(F51:J51,6-N50),"")</f>
        <v>Presented three (3) acceptable MOVs</v>
      </c>
      <c r="L51" s="735"/>
      <c r="M51" s="818"/>
      <c r="N51" s="761"/>
      <c r="O51" s="761"/>
      <c r="P51" s="749"/>
      <c r="Q51" s="752"/>
      <c r="R51" s="226"/>
    </row>
    <row r="52" spans="1:18" ht="96" customHeight="1" thickBot="1">
      <c r="A52" s="754"/>
      <c r="B52" s="729"/>
      <c r="C52" s="732"/>
      <c r="D52" s="732"/>
      <c r="E52" s="248" t="s">
        <v>2</v>
      </c>
      <c r="F52" s="297" t="s">
        <v>1184</v>
      </c>
      <c r="G52" s="297" t="s">
        <v>1185</v>
      </c>
      <c r="H52" s="297" t="s">
        <v>1186</v>
      </c>
      <c r="I52" s="297" t="s">
        <v>1187</v>
      </c>
      <c r="J52" s="297" t="s">
        <v>1094</v>
      </c>
      <c r="K52" s="253" t="str" cm="1">
        <f t="array" ref="K52">IFERROR(INDEX(F52:J52,6-O50),"")</f>
        <v>Presented MOV/s showing prompt communication of learners’ needs, progress, and achievement across 3 quarters</v>
      </c>
      <c r="L52" s="736"/>
      <c r="M52" s="819"/>
      <c r="N52" s="762"/>
      <c r="O52" s="762"/>
      <c r="P52" s="750"/>
      <c r="Q52" s="753"/>
      <c r="R52" s="226"/>
    </row>
    <row r="53" spans="1:18" ht="166.5" customHeight="1">
      <c r="A53" s="754" t="s">
        <v>28</v>
      </c>
      <c r="B53" s="770" t="s">
        <v>43</v>
      </c>
      <c r="C53" s="766" t="s">
        <v>11</v>
      </c>
      <c r="D53" s="767">
        <v>6.7857142859999997E-2</v>
      </c>
      <c r="E53" s="462" t="s">
        <v>6</v>
      </c>
      <c r="F53" s="463" t="s">
        <v>1188</v>
      </c>
      <c r="G53" s="463" t="s">
        <v>1189</v>
      </c>
      <c r="H53" s="463" t="s">
        <v>1190</v>
      </c>
      <c r="I53" s="463" t="s">
        <v>1191</v>
      </c>
      <c r="J53" s="463" t="s">
        <v>1094</v>
      </c>
      <c r="K53" s="289" t="str" cm="1">
        <f t="array" ref="K53">IFERROR(INDEX(F53:J53,6-L53),"")</f>
        <v>Synthesized agreements and recommendatio ns in enhancing colleagues’ own learnercentered teaching philosophy, as evidenced by MOV 5</v>
      </c>
      <c r="L53" s="768">
        <f>'Encoding Part 1'!I26</f>
        <v>4</v>
      </c>
      <c r="M53" s="817"/>
      <c r="N53" s="769">
        <f>'Encoding Part 1'!K26</f>
        <v>0</v>
      </c>
      <c r="O53" s="769">
        <f>'Encoding Part 1'!L26</f>
        <v>0</v>
      </c>
      <c r="P53" s="763">
        <f>'Encoding Part 1'!M26</f>
        <v>4</v>
      </c>
      <c r="Q53" s="764">
        <f>'Encoding Part 1'!N26</f>
        <v>0.27143</v>
      </c>
      <c r="R53" s="226"/>
    </row>
    <row r="54" spans="1:18">
      <c r="A54" s="754"/>
      <c r="B54" s="728"/>
      <c r="C54" s="731"/>
      <c r="D54" s="731"/>
      <c r="E54" s="233" t="s">
        <v>7</v>
      </c>
      <c r="F54" s="255"/>
      <c r="G54" s="235"/>
      <c r="H54" s="235"/>
      <c r="I54" s="235"/>
      <c r="J54" s="235"/>
      <c r="K54" s="236" t="str" cm="1">
        <f t="array" ref="K54">IFERROR(INDEX(F54:J54,6-N53),"")</f>
        <v/>
      </c>
      <c r="L54" s="735"/>
      <c r="M54" s="818"/>
      <c r="N54" s="738"/>
      <c r="O54" s="738"/>
      <c r="P54" s="749"/>
      <c r="Q54" s="752"/>
      <c r="R54" s="226"/>
    </row>
    <row r="55" spans="1:18" ht="15" thickBot="1">
      <c r="A55" s="754"/>
      <c r="B55" s="729"/>
      <c r="C55" s="732"/>
      <c r="D55" s="732"/>
      <c r="E55" s="256" t="s">
        <v>2</v>
      </c>
      <c r="F55" s="257"/>
      <c r="G55" s="239"/>
      <c r="H55" s="239"/>
      <c r="I55" s="239"/>
      <c r="J55" s="239"/>
      <c r="K55" s="239" t="str" cm="1">
        <f t="array" ref="K55">IFERROR(INDEX(F55:J55,6-O53),"")</f>
        <v/>
      </c>
      <c r="L55" s="736"/>
      <c r="M55" s="819"/>
      <c r="N55" s="739"/>
      <c r="O55" s="739"/>
      <c r="P55" s="750"/>
      <c r="Q55" s="753"/>
      <c r="R55" s="226"/>
    </row>
    <row r="56" spans="1:18" ht="96.6">
      <c r="A56" s="754"/>
      <c r="B56" s="727" t="s">
        <v>44</v>
      </c>
      <c r="C56" s="730" t="s">
        <v>11</v>
      </c>
      <c r="D56" s="733">
        <v>6.7857142859999997E-2</v>
      </c>
      <c r="E56" s="230" t="s">
        <v>6</v>
      </c>
      <c r="F56" s="258" t="s">
        <v>1192</v>
      </c>
      <c r="G56" s="232" t="s">
        <v>1193</v>
      </c>
      <c r="H56" s="232" t="s">
        <v>1194</v>
      </c>
      <c r="I56" s="232" t="s">
        <v>1195</v>
      </c>
      <c r="J56" s="259" t="s">
        <v>1094</v>
      </c>
      <c r="K56" s="232" t="str" cm="1">
        <f t="array" ref="K56">IFERROR(INDEX(F56:J56,6-L56),"")</f>
        <v>Updated professional development goals during Phase II of the PMES Cycle as evidenced by MOV 5</v>
      </c>
      <c r="L56" s="734">
        <f>'Encoding Part 1'!I27</f>
        <v>5</v>
      </c>
      <c r="M56" s="820"/>
      <c r="N56" s="760">
        <f>'Encoding Part 1'!K27</f>
        <v>4</v>
      </c>
      <c r="O56" s="760">
        <f>'Encoding Part 1'!L27</f>
        <v>4</v>
      </c>
      <c r="P56" s="748">
        <f>'Encoding Part 1'!M27</f>
        <v>4.3333000000000004</v>
      </c>
      <c r="Q56" s="751">
        <f>'Encoding Part 1'!N27</f>
        <v>0.29404999999999998</v>
      </c>
      <c r="R56" s="226"/>
    </row>
    <row r="57" spans="1:18" ht="27.6">
      <c r="A57" s="754"/>
      <c r="B57" s="728"/>
      <c r="C57" s="731"/>
      <c r="D57" s="731"/>
      <c r="E57" s="233" t="s">
        <v>7</v>
      </c>
      <c r="F57" s="259" t="s">
        <v>1107</v>
      </c>
      <c r="G57" s="252" t="s">
        <v>1108</v>
      </c>
      <c r="H57" s="252" t="s">
        <v>1109</v>
      </c>
      <c r="I57" s="252" t="s">
        <v>1110</v>
      </c>
      <c r="J57" s="259" t="s">
        <v>1094</v>
      </c>
      <c r="K57" s="252" t="str" cm="1">
        <f t="array" ref="K57">IFERROR(INDEX(F57:J57,6-N56),"")</f>
        <v>Presented three (3) acceptable MOVs</v>
      </c>
      <c r="L57" s="735"/>
      <c r="M57" s="818"/>
      <c r="N57" s="761"/>
      <c r="O57" s="761"/>
      <c r="P57" s="749"/>
      <c r="Q57" s="752"/>
      <c r="R57" s="226"/>
    </row>
    <row r="58" spans="1:18" ht="69.599999999999994" thickBot="1">
      <c r="A58" s="780"/>
      <c r="B58" s="729"/>
      <c r="C58" s="732"/>
      <c r="D58" s="732"/>
      <c r="E58" s="237" t="s">
        <v>2</v>
      </c>
      <c r="F58" s="260" t="s">
        <v>1123</v>
      </c>
      <c r="G58" s="253" t="s">
        <v>1124</v>
      </c>
      <c r="H58" s="253" t="s">
        <v>1125</v>
      </c>
      <c r="I58" s="253" t="s">
        <v>1126</v>
      </c>
      <c r="J58" s="261" t="s">
        <v>1094</v>
      </c>
      <c r="K58" s="253" t="str" cm="1">
        <f t="array" ref="K58">IFERROR(INDEX(F58:J58,6-O56),"")</f>
        <v>All three (3) presented MOVs were accomplished within the prescribed PMES Phase</v>
      </c>
      <c r="L58" s="736"/>
      <c r="M58" s="819"/>
      <c r="N58" s="762"/>
      <c r="O58" s="762"/>
      <c r="P58" s="750"/>
      <c r="Q58" s="753"/>
      <c r="R58" s="226"/>
    </row>
    <row r="59" spans="1:18" ht="14.55" hidden="1" customHeight="1">
      <c r="A59" s="262"/>
      <c r="B59" s="263"/>
      <c r="C59" s="264"/>
      <c r="D59" s="265"/>
      <c r="E59" s="266" t="s">
        <v>7</v>
      </c>
      <c r="F59" s="267" t="s">
        <v>176</v>
      </c>
      <c r="G59" s="267" t="s">
        <v>176</v>
      </c>
      <c r="H59" s="267" t="s">
        <v>176</v>
      </c>
      <c r="I59" s="267" t="s">
        <v>176</v>
      </c>
      <c r="J59" s="267" t="s">
        <v>176</v>
      </c>
      <c r="K59" s="268" t="str" cm="1">
        <f t="array" ref="K59">IFERROR(INDEX(F59:J59,6-#REF!),"")</f>
        <v/>
      </c>
      <c r="L59" s="775"/>
      <c r="M59" s="266"/>
      <c r="N59" s="775"/>
      <c r="O59" s="775"/>
      <c r="P59" s="763"/>
      <c r="Q59" s="764"/>
      <c r="R59" s="226"/>
    </row>
    <row r="60" spans="1:18" ht="14.55" hidden="1" customHeight="1">
      <c r="A60" s="262"/>
      <c r="B60" s="269"/>
      <c r="C60" s="270"/>
      <c r="D60" s="271"/>
      <c r="E60" s="242" t="s">
        <v>2</v>
      </c>
      <c r="F60" s="272" t="s">
        <v>176</v>
      </c>
      <c r="G60" s="272" t="s">
        <v>176</v>
      </c>
      <c r="H60" s="272" t="s">
        <v>176</v>
      </c>
      <c r="I60" s="272" t="s">
        <v>176</v>
      </c>
      <c r="J60" s="272" t="s">
        <v>176</v>
      </c>
      <c r="K60" s="272" t="str" cm="1">
        <f t="array" ref="K60">IFERROR(INDEX(F60:J60,6-#REF!),"")</f>
        <v/>
      </c>
      <c r="L60" s="761"/>
      <c r="M60" s="242"/>
      <c r="N60" s="761"/>
      <c r="O60" s="761"/>
      <c r="P60" s="749"/>
      <c r="Q60" s="752"/>
      <c r="R60" s="226"/>
    </row>
    <row r="61" spans="1:18" hidden="1">
      <c r="A61" s="771" t="s">
        <v>176</v>
      </c>
      <c r="B61" s="772" t="s">
        <v>176</v>
      </c>
      <c r="C61" s="773" t="e">
        <v>#REF!</v>
      </c>
      <c r="D61" s="774">
        <v>0</v>
      </c>
      <c r="E61" s="242" t="s">
        <v>6</v>
      </c>
      <c r="F61" s="272" t="s">
        <v>176</v>
      </c>
      <c r="G61" s="272" t="s">
        <v>176</v>
      </c>
      <c r="H61" s="272" t="s">
        <v>176</v>
      </c>
      <c r="I61" s="272" t="s">
        <v>176</v>
      </c>
      <c r="J61" s="272" t="s">
        <v>176</v>
      </c>
      <c r="K61" s="273" t="str" cm="1">
        <f t="array" ref="K61">IFERROR(INDEX(F61:J61,6-L61),"")</f>
        <v/>
      </c>
      <c r="L61" s="761" t="s">
        <v>176</v>
      </c>
      <c r="M61" s="242"/>
      <c r="N61" s="761" t="s">
        <v>176</v>
      </c>
      <c r="O61" s="761" t="s">
        <v>176</v>
      </c>
      <c r="P61" s="749">
        <f t="shared" ref="P61" si="0">IFERROR(ROUNDDOWN(AVERAGE($L61:$O61),3),0)</f>
        <v>0</v>
      </c>
      <c r="Q61" s="752">
        <f t="shared" ref="Q61" si="1">ROUNDDOWN($P61*$D61,3)</f>
        <v>0</v>
      </c>
      <c r="R61" s="226"/>
    </row>
    <row r="62" spans="1:18" hidden="1">
      <c r="A62" s="771"/>
      <c r="B62" s="772"/>
      <c r="C62" s="773"/>
      <c r="D62" s="774"/>
      <c r="E62" s="242" t="s">
        <v>7</v>
      </c>
      <c r="F62" s="272" t="s">
        <v>176</v>
      </c>
      <c r="G62" s="272" t="s">
        <v>176</v>
      </c>
      <c r="H62" s="272" t="s">
        <v>176</v>
      </c>
      <c r="I62" s="272" t="s">
        <v>176</v>
      </c>
      <c r="J62" s="272" t="s">
        <v>176</v>
      </c>
      <c r="K62" s="273" t="str" cm="1">
        <f t="array" ref="K62">IFERROR(INDEX(F62:J62,6-N61),"")</f>
        <v/>
      </c>
      <c r="L62" s="761"/>
      <c r="M62" s="242"/>
      <c r="N62" s="761"/>
      <c r="O62" s="761"/>
      <c r="P62" s="749"/>
      <c r="Q62" s="752"/>
      <c r="R62" s="226"/>
    </row>
    <row r="63" spans="1:18" hidden="1">
      <c r="A63" s="771"/>
      <c r="B63" s="772"/>
      <c r="C63" s="773"/>
      <c r="D63" s="774"/>
      <c r="E63" s="242" t="s">
        <v>2</v>
      </c>
      <c r="F63" s="272" t="s">
        <v>176</v>
      </c>
      <c r="G63" s="272" t="s">
        <v>176</v>
      </c>
      <c r="H63" s="272" t="s">
        <v>176</v>
      </c>
      <c r="I63" s="272" t="s">
        <v>176</v>
      </c>
      <c r="J63" s="272" t="s">
        <v>176</v>
      </c>
      <c r="K63" s="272" t="str" cm="1">
        <f t="array" ref="K63">IFERROR(INDEX(F63:J63,6-O61),"")</f>
        <v/>
      </c>
      <c r="L63" s="761"/>
      <c r="M63" s="242"/>
      <c r="N63" s="761"/>
      <c r="O63" s="761"/>
      <c r="P63" s="749"/>
      <c r="Q63" s="752"/>
      <c r="R63" s="226"/>
    </row>
    <row r="64" spans="1:18" hidden="1">
      <c r="A64" s="771" t="s">
        <v>176</v>
      </c>
      <c r="B64" s="772" t="s">
        <v>176</v>
      </c>
      <c r="C64" s="773" t="e">
        <v>#REF!</v>
      </c>
      <c r="D64" s="774">
        <v>0</v>
      </c>
      <c r="E64" s="242" t="s">
        <v>6</v>
      </c>
      <c r="F64" s="272" t="s">
        <v>176</v>
      </c>
      <c r="G64" s="272" t="s">
        <v>176</v>
      </c>
      <c r="H64" s="272" t="s">
        <v>176</v>
      </c>
      <c r="I64" s="272" t="s">
        <v>176</v>
      </c>
      <c r="J64" s="272" t="s">
        <v>176</v>
      </c>
      <c r="K64" s="273" t="str" cm="1">
        <f t="array" ref="K64">IFERROR(INDEX(F64:J64,6-L64),"")</f>
        <v/>
      </c>
      <c r="L64" s="761" t="s">
        <v>176</v>
      </c>
      <c r="M64" s="242"/>
      <c r="N64" s="761" t="s">
        <v>176</v>
      </c>
      <c r="O64" s="761" t="s">
        <v>176</v>
      </c>
      <c r="P64" s="749">
        <f t="shared" ref="P64" si="2">IFERROR(ROUNDDOWN(AVERAGE($L64:$O64),3),0)</f>
        <v>0</v>
      </c>
      <c r="Q64" s="752">
        <f t="shared" ref="Q64" si="3">ROUNDDOWN($P64*$D64,3)</f>
        <v>0</v>
      </c>
      <c r="R64" s="226"/>
    </row>
    <row r="65" spans="1:18" hidden="1">
      <c r="A65" s="771"/>
      <c r="B65" s="772"/>
      <c r="C65" s="773"/>
      <c r="D65" s="774"/>
      <c r="E65" s="242" t="s">
        <v>7</v>
      </c>
      <c r="F65" s="272" t="s">
        <v>176</v>
      </c>
      <c r="G65" s="272" t="s">
        <v>176</v>
      </c>
      <c r="H65" s="272" t="s">
        <v>176</v>
      </c>
      <c r="I65" s="272" t="s">
        <v>176</v>
      </c>
      <c r="J65" s="272" t="s">
        <v>176</v>
      </c>
      <c r="K65" s="273" t="str" cm="1">
        <f t="array" ref="K65">IFERROR(INDEX(F65:J65,6-N64),"")</f>
        <v/>
      </c>
      <c r="L65" s="761"/>
      <c r="M65" s="242"/>
      <c r="N65" s="761"/>
      <c r="O65" s="761"/>
      <c r="P65" s="749"/>
      <c r="Q65" s="752"/>
      <c r="R65" s="226"/>
    </row>
    <row r="66" spans="1:18" hidden="1">
      <c r="A66" s="771"/>
      <c r="B66" s="772"/>
      <c r="C66" s="773"/>
      <c r="D66" s="774"/>
      <c r="E66" s="242" t="s">
        <v>2</v>
      </c>
      <c r="F66" s="272" t="s">
        <v>176</v>
      </c>
      <c r="G66" s="272" t="s">
        <v>176</v>
      </c>
      <c r="H66" s="272" t="s">
        <v>176</v>
      </c>
      <c r="I66" s="272" t="s">
        <v>176</v>
      </c>
      <c r="J66" s="272" t="s">
        <v>176</v>
      </c>
      <c r="K66" s="272" t="str" cm="1">
        <f t="array" ref="K66">IFERROR(INDEX(F66:J66,6-O64),"")</f>
        <v/>
      </c>
      <c r="L66" s="761"/>
      <c r="M66" s="242"/>
      <c r="N66" s="761"/>
      <c r="O66" s="761"/>
      <c r="P66" s="749"/>
      <c r="Q66" s="752"/>
      <c r="R66" s="226"/>
    </row>
    <row r="67" spans="1:18" hidden="1">
      <c r="A67" s="771" t="s">
        <v>176</v>
      </c>
      <c r="B67" s="772" t="s">
        <v>176</v>
      </c>
      <c r="C67" s="773" t="e">
        <v>#REF!</v>
      </c>
      <c r="D67" s="774">
        <v>0</v>
      </c>
      <c r="E67" s="242" t="s">
        <v>6</v>
      </c>
      <c r="F67" s="272" t="s">
        <v>176</v>
      </c>
      <c r="G67" s="272" t="s">
        <v>176</v>
      </c>
      <c r="H67" s="272" t="s">
        <v>176</v>
      </c>
      <c r="I67" s="272" t="s">
        <v>176</v>
      </c>
      <c r="J67" s="272" t="s">
        <v>176</v>
      </c>
      <c r="K67" s="273" t="str" cm="1">
        <f t="array" ref="K67">IFERROR(INDEX(F67:J67,6-L67),"")</f>
        <v/>
      </c>
      <c r="L67" s="761" t="s">
        <v>176</v>
      </c>
      <c r="M67" s="242"/>
      <c r="N67" s="761" t="s">
        <v>176</v>
      </c>
      <c r="O67" s="761" t="s">
        <v>176</v>
      </c>
      <c r="P67" s="749">
        <f t="shared" ref="P67" si="4">IFERROR(ROUNDDOWN(AVERAGE($L67:$O67),3),0)</f>
        <v>0</v>
      </c>
      <c r="Q67" s="752">
        <f t="shared" ref="Q67" si="5">ROUNDDOWN($P67*$D67,3)</f>
        <v>0</v>
      </c>
      <c r="R67" s="226"/>
    </row>
    <row r="68" spans="1:18" hidden="1">
      <c r="A68" s="771"/>
      <c r="B68" s="772"/>
      <c r="C68" s="773"/>
      <c r="D68" s="774"/>
      <c r="E68" s="242" t="s">
        <v>7</v>
      </c>
      <c r="F68" s="272" t="s">
        <v>176</v>
      </c>
      <c r="G68" s="272" t="s">
        <v>176</v>
      </c>
      <c r="H68" s="272" t="s">
        <v>176</v>
      </c>
      <c r="I68" s="272" t="s">
        <v>176</v>
      </c>
      <c r="J68" s="272" t="s">
        <v>176</v>
      </c>
      <c r="K68" s="273" t="str" cm="1">
        <f t="array" ref="K68">IFERROR(INDEX(F68:J68,6-N67),"")</f>
        <v/>
      </c>
      <c r="L68" s="761"/>
      <c r="M68" s="242"/>
      <c r="N68" s="761"/>
      <c r="O68" s="761"/>
      <c r="P68" s="749"/>
      <c r="Q68" s="752"/>
      <c r="R68" s="226"/>
    </row>
    <row r="69" spans="1:18" hidden="1">
      <c r="A69" s="771"/>
      <c r="B69" s="772"/>
      <c r="C69" s="773"/>
      <c r="D69" s="774"/>
      <c r="E69" s="242" t="s">
        <v>2</v>
      </c>
      <c r="F69" s="272" t="s">
        <v>176</v>
      </c>
      <c r="G69" s="272" t="s">
        <v>176</v>
      </c>
      <c r="H69" s="272" t="s">
        <v>176</v>
      </c>
      <c r="I69" s="272" t="s">
        <v>176</v>
      </c>
      <c r="J69" s="272" t="s">
        <v>176</v>
      </c>
      <c r="K69" s="272" t="str" cm="1">
        <f t="array" ref="K69">IFERROR(INDEX(F69:J69,6-O67),"")</f>
        <v/>
      </c>
      <c r="L69" s="761"/>
      <c r="M69" s="242"/>
      <c r="N69" s="761"/>
      <c r="O69" s="761"/>
      <c r="P69" s="749"/>
      <c r="Q69" s="752"/>
      <c r="R69" s="226"/>
    </row>
    <row r="70" spans="1:18" hidden="1">
      <c r="A70" s="771" t="s">
        <v>176</v>
      </c>
      <c r="B70" s="772" t="s">
        <v>176</v>
      </c>
      <c r="C70" s="773" t="e">
        <v>#REF!</v>
      </c>
      <c r="D70" s="774">
        <v>0</v>
      </c>
      <c r="E70" s="242" t="s">
        <v>6</v>
      </c>
      <c r="F70" s="272" t="s">
        <v>176</v>
      </c>
      <c r="G70" s="272" t="s">
        <v>176</v>
      </c>
      <c r="H70" s="272" t="s">
        <v>176</v>
      </c>
      <c r="I70" s="272" t="s">
        <v>176</v>
      </c>
      <c r="J70" s="272" t="s">
        <v>176</v>
      </c>
      <c r="K70" s="273" t="str" cm="1">
        <f t="array" ref="K70">IFERROR(INDEX(F70:J70,6-L70),"")</f>
        <v/>
      </c>
      <c r="L70" s="761" t="s">
        <v>176</v>
      </c>
      <c r="M70" s="242"/>
      <c r="N70" s="761" t="s">
        <v>176</v>
      </c>
      <c r="O70" s="761" t="s">
        <v>176</v>
      </c>
      <c r="P70" s="749">
        <f t="shared" ref="P70" si="6">IFERROR(ROUNDDOWN(AVERAGE($L70:$O70),3),0)</f>
        <v>0</v>
      </c>
      <c r="Q70" s="752">
        <f t="shared" ref="Q70" si="7">ROUNDDOWN($P70*$D70,3)</f>
        <v>0</v>
      </c>
      <c r="R70" s="226"/>
    </row>
    <row r="71" spans="1:18" hidden="1">
      <c r="A71" s="771"/>
      <c r="B71" s="772"/>
      <c r="C71" s="773"/>
      <c r="D71" s="774"/>
      <c r="E71" s="242" t="s">
        <v>7</v>
      </c>
      <c r="F71" s="272" t="s">
        <v>176</v>
      </c>
      <c r="G71" s="272" t="s">
        <v>176</v>
      </c>
      <c r="H71" s="272" t="s">
        <v>176</v>
      </c>
      <c r="I71" s="272" t="s">
        <v>176</v>
      </c>
      <c r="J71" s="272" t="s">
        <v>176</v>
      </c>
      <c r="K71" s="273" t="str" cm="1">
        <f t="array" ref="K71">IFERROR(INDEX(F71:J71,6-N70),"")</f>
        <v/>
      </c>
      <c r="L71" s="761"/>
      <c r="M71" s="242"/>
      <c r="N71" s="761"/>
      <c r="O71" s="761"/>
      <c r="P71" s="749"/>
      <c r="Q71" s="752"/>
      <c r="R71" s="226"/>
    </row>
    <row r="72" spans="1:18" hidden="1">
      <c r="A72" s="771"/>
      <c r="B72" s="772"/>
      <c r="C72" s="773"/>
      <c r="D72" s="774"/>
      <c r="E72" s="242" t="s">
        <v>2</v>
      </c>
      <c r="F72" s="272" t="s">
        <v>176</v>
      </c>
      <c r="G72" s="272" t="s">
        <v>176</v>
      </c>
      <c r="H72" s="272" t="s">
        <v>176</v>
      </c>
      <c r="I72" s="272" t="s">
        <v>176</v>
      </c>
      <c r="J72" s="272" t="s">
        <v>176</v>
      </c>
      <c r="K72" s="272" t="str" cm="1">
        <f t="array" ref="K72">IFERROR(INDEX(F72:J72,6-O70),"")</f>
        <v/>
      </c>
      <c r="L72" s="761"/>
      <c r="M72" s="242"/>
      <c r="N72" s="761"/>
      <c r="O72" s="761"/>
      <c r="P72" s="749"/>
      <c r="Q72" s="752"/>
      <c r="R72" s="226"/>
    </row>
    <row r="73" spans="1:18" hidden="1">
      <c r="A73" s="771" t="s">
        <v>176</v>
      </c>
      <c r="B73" s="772" t="s">
        <v>176</v>
      </c>
      <c r="C73" s="773" t="e">
        <v>#REF!</v>
      </c>
      <c r="D73" s="774">
        <v>0</v>
      </c>
      <c r="E73" s="242" t="s">
        <v>6</v>
      </c>
      <c r="F73" s="272" t="s">
        <v>176</v>
      </c>
      <c r="G73" s="272" t="s">
        <v>176</v>
      </c>
      <c r="H73" s="272" t="s">
        <v>176</v>
      </c>
      <c r="I73" s="272" t="s">
        <v>176</v>
      </c>
      <c r="J73" s="272" t="s">
        <v>176</v>
      </c>
      <c r="K73" s="273" t="str" cm="1">
        <f t="array" ref="K73">IFERROR(INDEX(F73:J73,6-L73),"")</f>
        <v/>
      </c>
      <c r="L73" s="761" t="s">
        <v>176</v>
      </c>
      <c r="M73" s="242"/>
      <c r="N73" s="761" t="s">
        <v>176</v>
      </c>
      <c r="O73" s="761" t="s">
        <v>176</v>
      </c>
      <c r="P73" s="749">
        <f t="shared" ref="P73" si="8">IFERROR(ROUNDDOWN(AVERAGE($L73:$O73),3),0)</f>
        <v>0</v>
      </c>
      <c r="Q73" s="752">
        <f t="shared" ref="Q73" si="9">ROUNDDOWN($P73*$D73,3)</f>
        <v>0</v>
      </c>
      <c r="R73" s="226"/>
    </row>
    <row r="74" spans="1:18" hidden="1">
      <c r="A74" s="771"/>
      <c r="B74" s="772"/>
      <c r="C74" s="773"/>
      <c r="D74" s="774"/>
      <c r="E74" s="242" t="s">
        <v>7</v>
      </c>
      <c r="F74" s="272" t="s">
        <v>176</v>
      </c>
      <c r="G74" s="272" t="s">
        <v>176</v>
      </c>
      <c r="H74" s="272" t="s">
        <v>176</v>
      </c>
      <c r="I74" s="272" t="s">
        <v>176</v>
      </c>
      <c r="J74" s="272" t="s">
        <v>176</v>
      </c>
      <c r="K74" s="273" t="str" cm="1">
        <f t="array" ref="K74">IFERROR(INDEX(F74:J74,6-N73),"")</f>
        <v/>
      </c>
      <c r="L74" s="761"/>
      <c r="M74" s="242"/>
      <c r="N74" s="761"/>
      <c r="O74" s="761"/>
      <c r="P74" s="749"/>
      <c r="Q74" s="752"/>
      <c r="R74" s="226"/>
    </row>
    <row r="75" spans="1:18" hidden="1">
      <c r="A75" s="771"/>
      <c r="B75" s="772"/>
      <c r="C75" s="773"/>
      <c r="D75" s="774"/>
      <c r="E75" s="242" t="s">
        <v>2</v>
      </c>
      <c r="F75" s="272" t="s">
        <v>176</v>
      </c>
      <c r="G75" s="272" t="s">
        <v>176</v>
      </c>
      <c r="H75" s="272" t="s">
        <v>176</v>
      </c>
      <c r="I75" s="272" t="s">
        <v>176</v>
      </c>
      <c r="J75" s="272" t="s">
        <v>176</v>
      </c>
      <c r="K75" s="272" t="str" cm="1">
        <f t="array" ref="K75">IFERROR(INDEX(F75:J75,6-O73),"")</f>
        <v/>
      </c>
      <c r="L75" s="761"/>
      <c r="M75" s="242"/>
      <c r="N75" s="761"/>
      <c r="O75" s="761"/>
      <c r="P75" s="749"/>
      <c r="Q75" s="752"/>
      <c r="R75" s="226"/>
    </row>
    <row r="76" spans="1:18" hidden="1">
      <c r="A76" s="771" t="s">
        <v>176</v>
      </c>
      <c r="B76" s="772" t="s">
        <v>176</v>
      </c>
      <c r="C76" s="773" t="e">
        <v>#REF!</v>
      </c>
      <c r="D76" s="774">
        <v>0</v>
      </c>
      <c r="E76" s="242" t="s">
        <v>6</v>
      </c>
      <c r="F76" s="272" t="s">
        <v>176</v>
      </c>
      <c r="G76" s="272" t="s">
        <v>176</v>
      </c>
      <c r="H76" s="272" t="s">
        <v>176</v>
      </c>
      <c r="I76" s="272" t="s">
        <v>176</v>
      </c>
      <c r="J76" s="272" t="s">
        <v>176</v>
      </c>
      <c r="K76" s="273" t="str" cm="1">
        <f t="array" ref="K76">IFERROR(INDEX(F76:J76,6-L76),"")</f>
        <v/>
      </c>
      <c r="L76" s="761" t="s">
        <v>176</v>
      </c>
      <c r="M76" s="242"/>
      <c r="N76" s="761" t="s">
        <v>176</v>
      </c>
      <c r="O76" s="761" t="s">
        <v>176</v>
      </c>
      <c r="P76" s="749">
        <f t="shared" ref="P76" si="10">IFERROR(ROUNDDOWN(AVERAGE($L76:$O76),3),0)</f>
        <v>0</v>
      </c>
      <c r="Q76" s="752">
        <f t="shared" ref="Q76" si="11">ROUNDDOWN($P76*$D76,3)</f>
        <v>0</v>
      </c>
      <c r="R76" s="226"/>
    </row>
    <row r="77" spans="1:18" hidden="1">
      <c r="A77" s="771"/>
      <c r="B77" s="772"/>
      <c r="C77" s="773"/>
      <c r="D77" s="774"/>
      <c r="E77" s="242" t="s">
        <v>7</v>
      </c>
      <c r="F77" s="272" t="s">
        <v>176</v>
      </c>
      <c r="G77" s="272" t="s">
        <v>176</v>
      </c>
      <c r="H77" s="272" t="s">
        <v>176</v>
      </c>
      <c r="I77" s="272" t="s">
        <v>176</v>
      </c>
      <c r="J77" s="272" t="s">
        <v>176</v>
      </c>
      <c r="K77" s="273" t="str" cm="1">
        <f t="array" ref="K77">IFERROR(INDEX(F77:J77,6-N76),"")</f>
        <v/>
      </c>
      <c r="L77" s="761"/>
      <c r="M77" s="242"/>
      <c r="N77" s="761"/>
      <c r="O77" s="761"/>
      <c r="P77" s="749"/>
      <c r="Q77" s="752"/>
      <c r="R77" s="226"/>
    </row>
    <row r="78" spans="1:18" ht="15" hidden="1" thickBot="1">
      <c r="A78" s="800"/>
      <c r="B78" s="801"/>
      <c r="C78" s="802"/>
      <c r="D78" s="803"/>
      <c r="E78" s="244" t="s">
        <v>2</v>
      </c>
      <c r="F78" s="274" t="s">
        <v>176</v>
      </c>
      <c r="G78" s="274" t="s">
        <v>176</v>
      </c>
      <c r="H78" s="274" t="s">
        <v>176</v>
      </c>
      <c r="I78" s="274" t="s">
        <v>176</v>
      </c>
      <c r="J78" s="274" t="s">
        <v>176</v>
      </c>
      <c r="K78" s="274" t="str" cm="1">
        <f t="array" ref="K78">IFERROR(INDEX(F78:J78,6-O76),"")</f>
        <v/>
      </c>
      <c r="L78" s="762"/>
      <c r="M78" s="244"/>
      <c r="N78" s="762"/>
      <c r="O78" s="762"/>
      <c r="P78" s="750"/>
      <c r="Q78" s="753"/>
      <c r="R78" s="226"/>
    </row>
    <row r="79" spans="1:18" ht="37.049999999999997" customHeight="1" thickBot="1">
      <c r="A79" s="275"/>
      <c r="B79" s="275"/>
      <c r="C79" s="275"/>
      <c r="D79" s="275"/>
      <c r="E79" s="275"/>
      <c r="F79" s="275"/>
      <c r="G79" s="275"/>
      <c r="H79" s="275"/>
      <c r="I79" s="795" t="s">
        <v>1196</v>
      </c>
      <c r="J79" s="795"/>
      <c r="K79" s="796"/>
      <c r="L79" s="797" t="str">
        <f ca="1">'Encoding Part 1'!N29</f>
        <v>Very Satisfactory</v>
      </c>
      <c r="M79" s="816"/>
      <c r="N79" s="798"/>
      <c r="O79" s="798"/>
      <c r="P79" s="799"/>
      <c r="Q79" s="276">
        <f ca="1">ROUND(SUM(Q12:Q78),4)</f>
        <v>4.3541999999999996</v>
      </c>
      <c r="R79" s="226"/>
    </row>
    <row r="80" spans="1:18" ht="15.75" customHeight="1" thickBot="1">
      <c r="A80" s="790" t="s">
        <v>1037</v>
      </c>
      <c r="B80" s="791"/>
      <c r="C80" s="791"/>
      <c r="D80" s="791"/>
      <c r="E80" s="792"/>
      <c r="F80" s="277"/>
      <c r="G80" s="277"/>
      <c r="H80" s="277"/>
      <c r="I80" s="277"/>
      <c r="J80" s="277"/>
      <c r="K80" s="277"/>
      <c r="L80" s="277"/>
      <c r="M80" s="277"/>
      <c r="N80" s="277"/>
      <c r="O80" s="277"/>
      <c r="P80" s="277"/>
      <c r="Q80" s="277"/>
    </row>
    <row r="81" spans="1:17" ht="15.75" customHeight="1">
      <c r="A81" s="278" t="s">
        <v>1038</v>
      </c>
      <c r="B81" s="779" t="s">
        <v>1039</v>
      </c>
      <c r="C81" s="779"/>
      <c r="D81" s="779"/>
      <c r="E81" s="779"/>
      <c r="F81" s="277"/>
      <c r="G81" s="277"/>
      <c r="H81" s="277"/>
      <c r="I81" s="277"/>
      <c r="J81" s="277"/>
      <c r="K81" s="277"/>
      <c r="L81" s="277"/>
      <c r="M81" s="277"/>
      <c r="N81" s="277"/>
      <c r="O81" s="277"/>
      <c r="P81" s="277"/>
      <c r="Q81" s="277"/>
    </row>
    <row r="82" spans="1:17" ht="15.75" customHeight="1">
      <c r="A82" s="279" t="s">
        <v>1040</v>
      </c>
      <c r="B82" s="778" t="s">
        <v>87</v>
      </c>
      <c r="C82" s="778"/>
      <c r="D82" s="778"/>
      <c r="E82" s="778"/>
      <c r="F82" s="277"/>
      <c r="G82" s="277"/>
      <c r="H82" s="277"/>
      <c r="I82" s="277"/>
      <c r="J82" s="277"/>
      <c r="K82" s="277"/>
      <c r="L82" s="277"/>
      <c r="M82" s="277"/>
      <c r="N82" s="277"/>
      <c r="O82" s="277"/>
      <c r="P82" s="277"/>
      <c r="Q82" s="277"/>
    </row>
    <row r="83" spans="1:17" ht="15.75" customHeight="1">
      <c r="A83" s="279" t="s">
        <v>1041</v>
      </c>
      <c r="B83" s="778" t="s">
        <v>85</v>
      </c>
      <c r="C83" s="778"/>
      <c r="D83" s="778"/>
      <c r="E83" s="778"/>
      <c r="F83" s="277"/>
      <c r="G83" s="277"/>
      <c r="H83" s="277"/>
      <c r="I83" s="277"/>
      <c r="J83" s="277"/>
      <c r="K83" s="277"/>
      <c r="L83" s="277"/>
      <c r="M83" s="277"/>
      <c r="N83" s="277"/>
      <c r="O83" s="277"/>
      <c r="P83" s="277"/>
      <c r="Q83" s="277"/>
    </row>
    <row r="84" spans="1:17" ht="15.75" customHeight="1">
      <c r="A84" s="279" t="s">
        <v>1042</v>
      </c>
      <c r="B84" s="778" t="s">
        <v>83</v>
      </c>
      <c r="C84" s="778"/>
      <c r="D84" s="778"/>
      <c r="E84" s="778"/>
      <c r="F84" s="277"/>
      <c r="G84" s="277"/>
      <c r="H84" s="277"/>
      <c r="I84" s="277"/>
      <c r="J84" s="277"/>
      <c r="K84" s="277"/>
      <c r="L84" s="277"/>
      <c r="M84" s="277"/>
      <c r="N84" s="277"/>
      <c r="O84" s="277"/>
      <c r="P84" s="277"/>
      <c r="Q84" s="277"/>
    </row>
    <row r="85" spans="1:17" ht="15.75" customHeight="1">
      <c r="A85" s="279" t="s">
        <v>1043</v>
      </c>
      <c r="B85" s="778" t="s">
        <v>81</v>
      </c>
      <c r="C85" s="778"/>
      <c r="D85" s="778"/>
      <c r="E85" s="778"/>
      <c r="F85" s="277"/>
      <c r="G85" s="277"/>
      <c r="H85" s="277"/>
      <c r="I85" s="277"/>
      <c r="J85" s="277"/>
      <c r="K85" s="277"/>
      <c r="L85" s="277"/>
      <c r="M85" s="277"/>
      <c r="N85" s="277"/>
      <c r="O85" s="277"/>
      <c r="P85" s="277"/>
      <c r="Q85" s="277"/>
    </row>
    <row r="86" spans="1:17" ht="15.75" customHeight="1">
      <c r="A86" s="279" t="s">
        <v>1044</v>
      </c>
      <c r="B86" s="778" t="s">
        <v>79</v>
      </c>
      <c r="C86" s="778"/>
      <c r="D86" s="778"/>
      <c r="E86" s="778"/>
      <c r="F86" s="277"/>
      <c r="G86" s="277"/>
      <c r="H86" s="277"/>
      <c r="I86" s="277"/>
      <c r="J86" s="277"/>
      <c r="K86" s="277"/>
      <c r="L86" s="277"/>
      <c r="M86" s="277"/>
      <c r="N86" s="277"/>
      <c r="O86" s="277"/>
      <c r="P86" s="277"/>
      <c r="Q86" s="277"/>
    </row>
    <row r="91" spans="1:17">
      <c r="A91" s="793" t="str">
        <f>C2</f>
        <v>EJONIE G. DEGOLLACION</v>
      </c>
      <c r="B91" s="793"/>
      <c r="C91" s="793"/>
      <c r="D91" s="793"/>
      <c r="F91" s="794" t="str">
        <f>J2</f>
        <v>GLORIFEL B. SAREÑO</v>
      </c>
      <c r="G91" s="794"/>
      <c r="H91" s="794"/>
      <c r="J91" s="793" t="str">
        <f>'Encoding Part 1'!L33&amp;" "&amp;'Encoding Part 1'!Q33&amp;" "&amp;'Encoding Part 1'!G33</f>
        <v>NICKJON C. BABATU-ON</v>
      </c>
      <c r="K91" s="793"/>
      <c r="L91" s="793"/>
      <c r="M91" s="793"/>
      <c r="N91" s="793"/>
      <c r="O91" s="793"/>
    </row>
    <row r="92" spans="1:17" ht="15" customHeight="1">
      <c r="A92" s="776" t="s">
        <v>1007</v>
      </c>
      <c r="B92" s="776"/>
      <c r="C92" s="776"/>
      <c r="D92" s="776"/>
      <c r="E92" s="280"/>
      <c r="F92" s="777" t="s">
        <v>1045</v>
      </c>
      <c r="G92" s="777"/>
      <c r="H92" s="777"/>
      <c r="I92" s="280"/>
      <c r="J92" s="776" t="s">
        <v>1046</v>
      </c>
      <c r="K92" s="776"/>
      <c r="L92" s="776"/>
      <c r="M92" s="776"/>
      <c r="N92" s="776"/>
      <c r="O92" s="776"/>
    </row>
  </sheetData>
  <sheetProtection algorithmName="SHA-512" hashValue="ph123FMGwtCLklATI4B0g4TTa0GCA4CbqdwgsfykGTIpmktp+hqO+gAY8kAaaBeOq72uVh4nAWQx+PEcM+g1oQ==" saltValue="TRJcdTvdTEfUItPVA8axJw==" spinCount="100000" sheet="1" objects="1" scenarios="1" formatRows="0"/>
  <mergeCells count="230">
    <mergeCell ref="A4:B4"/>
    <mergeCell ref="C4:H4"/>
    <mergeCell ref="A5:B5"/>
    <mergeCell ref="C5:H5"/>
    <mergeCell ref="I5:Q5"/>
    <mergeCell ref="A1:Q1"/>
    <mergeCell ref="A2:B2"/>
    <mergeCell ref="C2:H2"/>
    <mergeCell ref="A3:B3"/>
    <mergeCell ref="C3:H3"/>
    <mergeCell ref="J2:Q2"/>
    <mergeCell ref="J3:Q3"/>
    <mergeCell ref="J4:Q4"/>
    <mergeCell ref="E10:E11"/>
    <mergeCell ref="A12:A21"/>
    <mergeCell ref="B12:B14"/>
    <mergeCell ref="C12:C14"/>
    <mergeCell ref="D12:D14"/>
    <mergeCell ref="L12:L14"/>
    <mergeCell ref="A8:J8"/>
    <mergeCell ref="K8:Q8"/>
    <mergeCell ref="A9:A11"/>
    <mergeCell ref="B9:B11"/>
    <mergeCell ref="C9:C11"/>
    <mergeCell ref="D9:D11"/>
    <mergeCell ref="E9:J9"/>
    <mergeCell ref="K9:K11"/>
    <mergeCell ref="L9:P10"/>
    <mergeCell ref="Q9:Q11"/>
    <mergeCell ref="M12:M14"/>
    <mergeCell ref="M15:M18"/>
    <mergeCell ref="M19:M21"/>
    <mergeCell ref="N12:N14"/>
    <mergeCell ref="O12:O14"/>
    <mergeCell ref="P12:P14"/>
    <mergeCell ref="Q12:Q14"/>
    <mergeCell ref="B15:B18"/>
    <mergeCell ref="C15:C18"/>
    <mergeCell ref="D15:D18"/>
    <mergeCell ref="L15:L18"/>
    <mergeCell ref="N15:N18"/>
    <mergeCell ref="O15:O18"/>
    <mergeCell ref="P15:P18"/>
    <mergeCell ref="Q15:Q18"/>
    <mergeCell ref="B19:B21"/>
    <mergeCell ref="C19:C21"/>
    <mergeCell ref="D19:D21"/>
    <mergeCell ref="L19:L21"/>
    <mergeCell ref="N19:N21"/>
    <mergeCell ref="O19:O21"/>
    <mergeCell ref="P19:P21"/>
    <mergeCell ref="Q19:Q21"/>
    <mergeCell ref="N29:N32"/>
    <mergeCell ref="O29:O32"/>
    <mergeCell ref="P29:P32"/>
    <mergeCell ref="Q29:Q32"/>
    <mergeCell ref="O22:O25"/>
    <mergeCell ref="P22:P25"/>
    <mergeCell ref="Q22:Q25"/>
    <mergeCell ref="B26:B28"/>
    <mergeCell ref="C26:C28"/>
    <mergeCell ref="D26:D28"/>
    <mergeCell ref="L26:L28"/>
    <mergeCell ref="N26:N28"/>
    <mergeCell ref="O26:O28"/>
    <mergeCell ref="P26:P28"/>
    <mergeCell ref="B22:B25"/>
    <mergeCell ref="C22:C25"/>
    <mergeCell ref="D22:D25"/>
    <mergeCell ref="L22:L25"/>
    <mergeCell ref="N22:N25"/>
    <mergeCell ref="M22:M25"/>
    <mergeCell ref="M26:M28"/>
    <mergeCell ref="Q26:Q28"/>
    <mergeCell ref="A22:A28"/>
    <mergeCell ref="M29:M32"/>
    <mergeCell ref="O33:O35"/>
    <mergeCell ref="P33:P35"/>
    <mergeCell ref="Q33:Q35"/>
    <mergeCell ref="B36:B38"/>
    <mergeCell ref="C36:C38"/>
    <mergeCell ref="D36:D38"/>
    <mergeCell ref="L36:L38"/>
    <mergeCell ref="N36:N38"/>
    <mergeCell ref="O36:O38"/>
    <mergeCell ref="P36:P38"/>
    <mergeCell ref="B33:B35"/>
    <mergeCell ref="C33:C35"/>
    <mergeCell ref="D33:D35"/>
    <mergeCell ref="L33:L35"/>
    <mergeCell ref="N33:N35"/>
    <mergeCell ref="M33:M35"/>
    <mergeCell ref="M36:M38"/>
    <mergeCell ref="A29:A32"/>
    <mergeCell ref="B29:B32"/>
    <mergeCell ref="C29:C32"/>
    <mergeCell ref="D29:D32"/>
    <mergeCell ref="L29:L32"/>
    <mergeCell ref="A43:A52"/>
    <mergeCell ref="B43:B46"/>
    <mergeCell ref="C43:C46"/>
    <mergeCell ref="D43:D46"/>
    <mergeCell ref="L43:L46"/>
    <mergeCell ref="N43:N46"/>
    <mergeCell ref="Q36:Q38"/>
    <mergeCell ref="B39:B42"/>
    <mergeCell ref="C39:C42"/>
    <mergeCell ref="D39:D42"/>
    <mergeCell ref="L39:L42"/>
    <mergeCell ref="N39:N42"/>
    <mergeCell ref="O39:O42"/>
    <mergeCell ref="P39:P42"/>
    <mergeCell ref="Q39:Q42"/>
    <mergeCell ref="A33:A42"/>
    <mergeCell ref="M39:M42"/>
    <mergeCell ref="M43:M46"/>
    <mergeCell ref="M47:M49"/>
    <mergeCell ref="M50:M52"/>
    <mergeCell ref="O43:O46"/>
    <mergeCell ref="P43:P46"/>
    <mergeCell ref="Q43:Q46"/>
    <mergeCell ref="B47:B49"/>
    <mergeCell ref="C47:C49"/>
    <mergeCell ref="D47:D49"/>
    <mergeCell ref="L47:L49"/>
    <mergeCell ref="N47:N49"/>
    <mergeCell ref="O47:O49"/>
    <mergeCell ref="P47:P49"/>
    <mergeCell ref="Q47:Q49"/>
    <mergeCell ref="B50:B52"/>
    <mergeCell ref="C50:C52"/>
    <mergeCell ref="D50:D52"/>
    <mergeCell ref="L50:L52"/>
    <mergeCell ref="N50:N52"/>
    <mergeCell ref="O50:O52"/>
    <mergeCell ref="P50:P52"/>
    <mergeCell ref="Q50:Q52"/>
    <mergeCell ref="B56:B58"/>
    <mergeCell ref="C56:C58"/>
    <mergeCell ref="D56:D58"/>
    <mergeCell ref="L56:L58"/>
    <mergeCell ref="N56:N58"/>
    <mergeCell ref="O56:O58"/>
    <mergeCell ref="P56:P58"/>
    <mergeCell ref="A53:A58"/>
    <mergeCell ref="B53:B55"/>
    <mergeCell ref="C53:C55"/>
    <mergeCell ref="D53:D55"/>
    <mergeCell ref="L53:L55"/>
    <mergeCell ref="N53:N55"/>
    <mergeCell ref="M53:M55"/>
    <mergeCell ref="M56:M58"/>
    <mergeCell ref="Q56:Q58"/>
    <mergeCell ref="L59:L60"/>
    <mergeCell ref="N59:N60"/>
    <mergeCell ref="O59:O60"/>
    <mergeCell ref="P59:P60"/>
    <mergeCell ref="Q59:Q60"/>
    <mergeCell ref="O53:O55"/>
    <mergeCell ref="P53:P55"/>
    <mergeCell ref="Q53:Q55"/>
    <mergeCell ref="O61:O63"/>
    <mergeCell ref="P61:P63"/>
    <mergeCell ref="Q61:Q63"/>
    <mergeCell ref="A64:A66"/>
    <mergeCell ref="B64:B66"/>
    <mergeCell ref="C64:C66"/>
    <mergeCell ref="D64:D66"/>
    <mergeCell ref="L64:L66"/>
    <mergeCell ref="N64:N66"/>
    <mergeCell ref="O64:O66"/>
    <mergeCell ref="A61:A63"/>
    <mergeCell ref="B61:B63"/>
    <mergeCell ref="C61:C63"/>
    <mergeCell ref="D61:D63"/>
    <mergeCell ref="L61:L63"/>
    <mergeCell ref="N61:N63"/>
    <mergeCell ref="P64:P66"/>
    <mergeCell ref="Q64:Q66"/>
    <mergeCell ref="A67:A69"/>
    <mergeCell ref="B67:B69"/>
    <mergeCell ref="C67:C69"/>
    <mergeCell ref="D67:D69"/>
    <mergeCell ref="L67:L69"/>
    <mergeCell ref="N67:N69"/>
    <mergeCell ref="O67:O69"/>
    <mergeCell ref="P67:P69"/>
    <mergeCell ref="Q67:Q69"/>
    <mergeCell ref="A70:A72"/>
    <mergeCell ref="B70:B72"/>
    <mergeCell ref="C70:C72"/>
    <mergeCell ref="D70:D72"/>
    <mergeCell ref="L70:L72"/>
    <mergeCell ref="N70:N72"/>
    <mergeCell ref="O70:O72"/>
    <mergeCell ref="P70:P72"/>
    <mergeCell ref="Q70:Q72"/>
    <mergeCell ref="P76:P78"/>
    <mergeCell ref="Q76:Q78"/>
    <mergeCell ref="I79:K79"/>
    <mergeCell ref="L79:P79"/>
    <mergeCell ref="B81:E81"/>
    <mergeCell ref="B82:E82"/>
    <mergeCell ref="O73:O75"/>
    <mergeCell ref="P73:P75"/>
    <mergeCell ref="Q73:Q75"/>
    <mergeCell ref="A80:E80"/>
    <mergeCell ref="A76:A78"/>
    <mergeCell ref="B76:B78"/>
    <mergeCell ref="C76:C78"/>
    <mergeCell ref="D76:D78"/>
    <mergeCell ref="L76:L78"/>
    <mergeCell ref="N76:N78"/>
    <mergeCell ref="O76:O78"/>
    <mergeCell ref="A73:A75"/>
    <mergeCell ref="B73:B75"/>
    <mergeCell ref="C73:C75"/>
    <mergeCell ref="D73:D75"/>
    <mergeCell ref="L73:L75"/>
    <mergeCell ref="N73:N75"/>
    <mergeCell ref="J91:O91"/>
    <mergeCell ref="A92:D92"/>
    <mergeCell ref="F92:H92"/>
    <mergeCell ref="J92:O92"/>
    <mergeCell ref="B83:E83"/>
    <mergeCell ref="B84:E84"/>
    <mergeCell ref="B85:E85"/>
    <mergeCell ref="B86:E86"/>
    <mergeCell ref="A91:D91"/>
    <mergeCell ref="F91:H91"/>
  </mergeCells>
  <conditionalFormatting sqref="A9:Q11">
    <cfRule type="expression" dxfId="41" priority="4">
      <formula>career_stage="HP"</formula>
    </cfRule>
    <cfRule type="expression" dxfId="40" priority="5">
      <formula>career_stage="P"</formula>
    </cfRule>
  </conditionalFormatting>
  <conditionalFormatting sqref="A12:A78">
    <cfRule type="expression" dxfId="39" priority="3">
      <formula>AND(NOT(#REF!),#REF!&gt;1)</formula>
    </cfRule>
  </conditionalFormatting>
  <conditionalFormatting sqref="L12:O78">
    <cfRule type="expression" dxfId="38" priority="2">
      <formula>NOT(#REF!)</formula>
    </cfRule>
  </conditionalFormatting>
  <conditionalFormatting sqref="F12:K78">
    <cfRule type="cellIs" dxfId="37" priority="1" operator="equal">
      <formula>0</formula>
    </cfRule>
  </conditionalFormatting>
  <printOptions horizontalCentered="1"/>
  <pageMargins left="0.5" right="0.5" top="0.7" bottom="0.55000000000000004" header="0" footer="0.23"/>
  <pageSetup paperSize="9" scale="81" fitToHeight="0" orientation="landscape" r:id="rId1"/>
  <headerFooter>
    <oddHeader>&amp;C&amp;"Calibri,Regular"&amp;K000000&amp;G</oddHeader>
    <oddFooter>Page &amp;P of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3608A-81C5-428C-BD7F-282FEE48FCEF}">
  <sheetPr codeName="PART9">
    <pageSetUpPr fitToPage="1"/>
  </sheetPr>
  <dimension ref="A1:R94"/>
  <sheetViews>
    <sheetView showGridLines="0" zoomScale="80" zoomScaleNormal="80" zoomScaleSheetLayoutView="100" workbookViewId="0">
      <selection activeCell="J4" sqref="J4:Q4"/>
    </sheetView>
  </sheetViews>
  <sheetFormatPr defaultColWidth="9.6640625" defaultRowHeight="14.4"/>
  <cols>
    <col min="1" max="1" width="15.21875" style="14" customWidth="1"/>
    <col min="2" max="2" width="14.6640625" style="14" customWidth="1"/>
    <col min="3" max="3" width="8.21875" style="14" customWidth="1"/>
    <col min="4" max="4" width="8.6640625" style="14" customWidth="1"/>
    <col min="5" max="5" width="11.21875" style="14" customWidth="1"/>
    <col min="6" max="11" width="17.21875" style="14" customWidth="1"/>
    <col min="12" max="16" width="5.33203125" style="14" customWidth="1"/>
    <col min="17" max="17" width="7" style="14" customWidth="1"/>
    <col min="18" max="16384" width="9.6640625" style="14"/>
  </cols>
  <sheetData>
    <row r="1" spans="1:18" ht="24" customHeight="1" thickBot="1">
      <c r="A1" s="869" t="s">
        <v>1013</v>
      </c>
      <c r="B1" s="870"/>
      <c r="C1" s="870"/>
      <c r="D1" s="870"/>
      <c r="E1" s="870"/>
      <c r="F1" s="870"/>
      <c r="G1" s="870"/>
      <c r="H1" s="870"/>
      <c r="I1" s="870"/>
      <c r="J1" s="870"/>
      <c r="K1" s="870"/>
      <c r="L1" s="870"/>
      <c r="M1" s="870"/>
      <c r="N1" s="870"/>
      <c r="O1" s="870"/>
      <c r="P1" s="870"/>
      <c r="Q1" s="871"/>
      <c r="R1" s="220" t="s">
        <v>817</v>
      </c>
    </row>
    <row r="2" spans="1:18" ht="24" customHeight="1">
      <c r="A2" s="872" t="s">
        <v>128</v>
      </c>
      <c r="B2" s="873"/>
      <c r="C2" s="812" t="str">
        <f>'Encoding Part 1'!C7</f>
        <v>EJONIE G. DEGOLLACION</v>
      </c>
      <c r="D2" s="812"/>
      <c r="E2" s="812"/>
      <c r="F2" s="812"/>
      <c r="G2" s="812"/>
      <c r="H2" s="812"/>
      <c r="I2" s="291" t="s">
        <v>129</v>
      </c>
      <c r="J2" s="813" t="str">
        <f>'Encoding Part 1'!B33</f>
        <v>GLORIFEL B. SAREÑO</v>
      </c>
      <c r="K2" s="814"/>
      <c r="L2" s="814"/>
      <c r="M2" s="814"/>
      <c r="N2" s="814"/>
      <c r="O2" s="814"/>
      <c r="P2" s="814"/>
      <c r="Q2" s="815"/>
    </row>
    <row r="3" spans="1:18" ht="24" customHeight="1">
      <c r="A3" s="863" t="s">
        <v>0</v>
      </c>
      <c r="B3" s="864"/>
      <c r="C3" s="709" t="str">
        <f>'Encoding Part 1'!C8</f>
        <v>Teacher III</v>
      </c>
      <c r="D3" s="709"/>
      <c r="E3" s="709"/>
      <c r="F3" s="709"/>
      <c r="G3" s="709"/>
      <c r="H3" s="709"/>
      <c r="I3" s="292" t="s">
        <v>0</v>
      </c>
      <c r="J3" s="784" t="str">
        <f>'Encoding Part 1'!H8</f>
        <v>Master Teacher I</v>
      </c>
      <c r="K3" s="785"/>
      <c r="L3" s="785"/>
      <c r="M3" s="785"/>
      <c r="N3" s="785"/>
      <c r="O3" s="785"/>
      <c r="P3" s="785"/>
      <c r="Q3" s="786"/>
    </row>
    <row r="4" spans="1:18" ht="24" customHeight="1">
      <c r="A4" s="863" t="s">
        <v>1018</v>
      </c>
      <c r="B4" s="864"/>
      <c r="C4" s="709" t="str">
        <f>'Encoding Part 1'!C9</f>
        <v xml:space="preserve">Lapu-Lapu City </v>
      </c>
      <c r="D4" s="709"/>
      <c r="E4" s="709"/>
      <c r="F4" s="709"/>
      <c r="G4" s="709"/>
      <c r="H4" s="709"/>
      <c r="I4" s="292" t="s">
        <v>1</v>
      </c>
      <c r="J4" s="787">
        <f>'Encoding Part 1'!H9</f>
        <v>46112</v>
      </c>
      <c r="K4" s="788"/>
      <c r="L4" s="788"/>
      <c r="M4" s="788"/>
      <c r="N4" s="788"/>
      <c r="O4" s="788"/>
      <c r="P4" s="788"/>
      <c r="Q4" s="789"/>
    </row>
    <row r="5" spans="1:18" ht="24" customHeight="1" thickBot="1">
      <c r="A5" s="865" t="s">
        <v>130</v>
      </c>
      <c r="B5" s="866"/>
      <c r="C5" s="710" t="str">
        <f>'Encoding Part 1'!C10</f>
        <v>SY 2025-2026</v>
      </c>
      <c r="D5" s="711"/>
      <c r="E5" s="711"/>
      <c r="F5" s="711"/>
      <c r="G5" s="711"/>
      <c r="H5" s="711"/>
      <c r="I5" s="867"/>
      <c r="J5" s="867"/>
      <c r="K5" s="867"/>
      <c r="L5" s="867"/>
      <c r="M5" s="867"/>
      <c r="N5" s="867"/>
      <c r="O5" s="867"/>
      <c r="P5" s="867"/>
      <c r="Q5" s="868"/>
    </row>
    <row r="6" spans="1:18" ht="10.050000000000001" customHeight="1">
      <c r="A6" s="223"/>
      <c r="B6" s="223"/>
      <c r="C6" s="223"/>
      <c r="D6" s="223"/>
      <c r="E6" s="223"/>
      <c r="F6" s="223"/>
      <c r="G6" s="223"/>
      <c r="H6" s="223"/>
      <c r="I6" s="224"/>
      <c r="J6" s="224"/>
      <c r="K6" s="224"/>
      <c r="L6" s="224"/>
      <c r="M6" s="224"/>
      <c r="N6" s="224"/>
      <c r="O6" s="224"/>
      <c r="P6" s="224"/>
      <c r="Q6" s="224"/>
    </row>
    <row r="7" spans="1:18" ht="10.050000000000001" customHeight="1" thickBot="1">
      <c r="A7" s="225"/>
      <c r="B7" s="225"/>
      <c r="C7" s="225"/>
      <c r="D7" s="225"/>
      <c r="E7" s="225"/>
      <c r="F7" s="225"/>
      <c r="G7" s="225"/>
      <c r="H7" s="225"/>
      <c r="I7" s="225"/>
      <c r="J7" s="225"/>
      <c r="K7" s="225"/>
      <c r="L7" s="225"/>
      <c r="M7" s="225"/>
      <c r="N7" s="225"/>
      <c r="O7" s="225"/>
      <c r="P7" s="225"/>
      <c r="Q7" s="225"/>
    </row>
    <row r="8" spans="1:18" ht="19.5" customHeight="1" thickBot="1">
      <c r="A8" s="854"/>
      <c r="B8" s="854"/>
      <c r="C8" s="854"/>
      <c r="D8" s="854"/>
      <c r="E8" s="854"/>
      <c r="F8" s="854"/>
      <c r="G8" s="854"/>
      <c r="H8" s="854"/>
      <c r="I8" s="854"/>
      <c r="J8" s="855"/>
      <c r="K8" s="856" t="s">
        <v>1031</v>
      </c>
      <c r="L8" s="854"/>
      <c r="M8" s="854"/>
      <c r="N8" s="854"/>
      <c r="O8" s="854"/>
      <c r="P8" s="854"/>
      <c r="Q8" s="855"/>
    </row>
    <row r="9" spans="1:18" ht="15" thickBot="1">
      <c r="A9" s="852" t="s">
        <v>1032</v>
      </c>
      <c r="B9" s="852" t="s">
        <v>3</v>
      </c>
      <c r="C9" s="852" t="s">
        <v>4</v>
      </c>
      <c r="D9" s="852" t="s">
        <v>1033</v>
      </c>
      <c r="E9" s="858" t="s">
        <v>1034</v>
      </c>
      <c r="F9" s="858"/>
      <c r="G9" s="858"/>
      <c r="H9" s="858"/>
      <c r="I9" s="858"/>
      <c r="J9" s="858"/>
      <c r="K9" s="852" t="s">
        <v>1035</v>
      </c>
      <c r="L9" s="859" t="s">
        <v>5</v>
      </c>
      <c r="M9" s="859"/>
      <c r="N9" s="859"/>
      <c r="O9" s="859"/>
      <c r="P9" s="860"/>
      <c r="Q9" s="852" t="s">
        <v>135</v>
      </c>
      <c r="R9" s="226"/>
    </row>
    <row r="10" spans="1:18" ht="26.25" customHeight="1" thickBot="1">
      <c r="A10" s="857"/>
      <c r="B10" s="857"/>
      <c r="C10" s="857"/>
      <c r="D10" s="857"/>
      <c r="E10" s="852" t="s">
        <v>1036</v>
      </c>
      <c r="F10" s="293" t="s">
        <v>87</v>
      </c>
      <c r="G10" s="293" t="s">
        <v>85</v>
      </c>
      <c r="H10" s="293" t="s">
        <v>83</v>
      </c>
      <c r="I10" s="293" t="s">
        <v>81</v>
      </c>
      <c r="J10" s="293" t="s">
        <v>79</v>
      </c>
      <c r="K10" s="857"/>
      <c r="L10" s="861"/>
      <c r="M10" s="861"/>
      <c r="N10" s="861"/>
      <c r="O10" s="861"/>
      <c r="P10" s="862"/>
      <c r="Q10" s="857"/>
      <c r="R10" s="226"/>
    </row>
    <row r="11" spans="1:18" ht="15" thickBot="1">
      <c r="A11" s="853"/>
      <c r="B11" s="853"/>
      <c r="C11" s="853"/>
      <c r="D11" s="853"/>
      <c r="E11" s="853"/>
      <c r="F11" s="295">
        <v>5</v>
      </c>
      <c r="G11" s="295">
        <v>4</v>
      </c>
      <c r="H11" s="295">
        <v>3</v>
      </c>
      <c r="I11" s="295">
        <v>2</v>
      </c>
      <c r="J11" s="295">
        <v>1</v>
      </c>
      <c r="K11" s="853"/>
      <c r="L11" s="294" t="s">
        <v>1385</v>
      </c>
      <c r="M11" s="294" t="s">
        <v>1386</v>
      </c>
      <c r="N11" s="294" t="s">
        <v>138</v>
      </c>
      <c r="O11" s="294" t="s">
        <v>139</v>
      </c>
      <c r="P11" s="294" t="s">
        <v>140</v>
      </c>
      <c r="Q11" s="853"/>
      <c r="R11" s="226"/>
    </row>
    <row r="12" spans="1:18" ht="123" customHeight="1">
      <c r="A12" s="754" t="s">
        <v>12</v>
      </c>
      <c r="B12" s="727" t="s">
        <v>45</v>
      </c>
      <c r="C12" s="730" t="s">
        <v>11</v>
      </c>
      <c r="D12" s="733">
        <v>6.7857142859999997E-2</v>
      </c>
      <c r="E12" s="230" t="s">
        <v>6</v>
      </c>
      <c r="F12" s="231" t="s">
        <v>1197</v>
      </c>
      <c r="G12" s="231" t="s">
        <v>1143</v>
      </c>
      <c r="H12" s="231" t="s">
        <v>1144</v>
      </c>
      <c r="I12" s="231" t="s">
        <v>1145</v>
      </c>
      <c r="J12" s="231" t="s">
        <v>1146</v>
      </c>
      <c r="K12" s="232" t="str" cm="1">
        <f t="array" aca="1" ref="K12" ca="1">IFERROR(INDEX(F12:J12,6-L12),"")</f>
        <v>Demonstrated Level 9 in the PPST Indicator as shown in the COT rating sheets presented</v>
      </c>
      <c r="L12" s="850">
        <f ca="1">'Encoding Part 1'!I14</f>
        <v>5</v>
      </c>
      <c r="M12" s="849">
        <f>'Encoding Part 1'!J14</f>
        <v>0</v>
      </c>
      <c r="N12" s="826">
        <f>'Encoding Part 1'!K14</f>
        <v>0</v>
      </c>
      <c r="O12" s="826">
        <f>'Encoding Part 1'!L14</f>
        <v>0</v>
      </c>
      <c r="P12" s="748">
        <f ca="1">'Encoding Part 1'!M14</f>
        <v>5</v>
      </c>
      <c r="Q12" s="751">
        <f ca="1">'Encoding Part 1'!N14</f>
        <v>0.33928999999999998</v>
      </c>
      <c r="R12" s="226"/>
    </row>
    <row r="13" spans="1:18">
      <c r="A13" s="754"/>
      <c r="B13" s="728"/>
      <c r="C13" s="731"/>
      <c r="D13" s="731"/>
      <c r="E13" s="233" t="s">
        <v>7</v>
      </c>
      <c r="F13" s="234"/>
      <c r="G13" s="235"/>
      <c r="H13" s="235"/>
      <c r="I13" s="235"/>
      <c r="J13" s="235"/>
      <c r="K13" s="236" t="str" cm="1">
        <f t="array" ref="K13">IFERROR(INDEX(F13:J13,6-N12),"")</f>
        <v/>
      </c>
      <c r="L13" s="735"/>
      <c r="M13" s="818"/>
      <c r="N13" s="738"/>
      <c r="O13" s="738"/>
      <c r="P13" s="749"/>
      <c r="Q13" s="752"/>
      <c r="R13" s="226"/>
    </row>
    <row r="14" spans="1:18" ht="15" thickBot="1">
      <c r="A14" s="754"/>
      <c r="B14" s="729"/>
      <c r="C14" s="732"/>
      <c r="D14" s="732"/>
      <c r="E14" s="237" t="s">
        <v>2</v>
      </c>
      <c r="F14" s="238"/>
      <c r="G14" s="239"/>
      <c r="H14" s="239"/>
      <c r="I14" s="239"/>
      <c r="J14" s="239"/>
      <c r="K14" s="240" t="str" cm="1">
        <f t="array" ref="K14">IFERROR(INDEX(F14:J14,6-O12),"")</f>
        <v/>
      </c>
      <c r="L14" s="736"/>
      <c r="M14" s="819"/>
      <c r="N14" s="739"/>
      <c r="O14" s="739"/>
      <c r="P14" s="750"/>
      <c r="Q14" s="753"/>
      <c r="R14" s="226"/>
    </row>
    <row r="15" spans="1:18" ht="105.45" customHeight="1">
      <c r="A15" s="754"/>
      <c r="B15" s="756" t="s">
        <v>46</v>
      </c>
      <c r="C15" s="730" t="s">
        <v>11</v>
      </c>
      <c r="D15" s="733">
        <v>6.7857142859999997E-2</v>
      </c>
      <c r="E15" s="230" t="s">
        <v>6</v>
      </c>
      <c r="F15" s="296" t="s">
        <v>1197</v>
      </c>
      <c r="G15" s="296" t="s">
        <v>1143</v>
      </c>
      <c r="H15" s="296" t="s">
        <v>1144</v>
      </c>
      <c r="I15" s="296" t="s">
        <v>1145</v>
      </c>
      <c r="J15" s="296" t="s">
        <v>1146</v>
      </c>
      <c r="K15" s="232" t="str" cm="1">
        <f t="array" aca="1" ref="K15" ca="1">IFERROR(INDEX(F15:J15,6-L15),"")</f>
        <v>Demonstrated Level 9 in the PPST Indicator as shown in the COT rating sheets presented</v>
      </c>
      <c r="L15" s="734">
        <f ca="1">'Encoding Part 1'!I15</f>
        <v>5</v>
      </c>
      <c r="M15" s="849"/>
      <c r="N15" s="826">
        <f>'Encoding Part 1'!K15</f>
        <v>0</v>
      </c>
      <c r="O15" s="826">
        <f>'Encoding Part 1'!L15</f>
        <v>0</v>
      </c>
      <c r="P15" s="748">
        <f ca="1">'Encoding Part 1'!M15</f>
        <v>5</v>
      </c>
      <c r="Q15" s="751">
        <f ca="1">'Encoding Part 1'!N15</f>
        <v>0.33928999999999998</v>
      </c>
      <c r="R15" s="226"/>
    </row>
    <row r="16" spans="1:18">
      <c r="A16" s="754"/>
      <c r="B16" s="757"/>
      <c r="C16" s="731"/>
      <c r="D16" s="731"/>
      <c r="E16" s="233" t="s">
        <v>7</v>
      </c>
      <c r="F16" s="234"/>
      <c r="G16" s="235"/>
      <c r="H16" s="235"/>
      <c r="I16" s="235"/>
      <c r="J16" s="235"/>
      <c r="K16" s="236" t="str" cm="1">
        <f t="array" ref="K16">IFERROR(INDEX(F16:J16,6-N15),"")</f>
        <v/>
      </c>
      <c r="L16" s="735"/>
      <c r="M16" s="818"/>
      <c r="N16" s="738"/>
      <c r="O16" s="738"/>
      <c r="P16" s="749"/>
      <c r="Q16" s="752"/>
      <c r="R16" s="226"/>
    </row>
    <row r="17" spans="1:18" ht="15" thickBot="1">
      <c r="A17" s="754"/>
      <c r="B17" s="758"/>
      <c r="C17" s="732"/>
      <c r="D17" s="732"/>
      <c r="E17" s="237" t="s">
        <v>2</v>
      </c>
      <c r="F17" s="238"/>
      <c r="G17" s="239"/>
      <c r="H17" s="239"/>
      <c r="I17" s="239"/>
      <c r="J17" s="239"/>
      <c r="K17" s="239" t="str" cm="1">
        <f t="array" ref="K17">IFERROR(INDEX(F17:J17,6-O15),"")</f>
        <v/>
      </c>
      <c r="L17" s="736"/>
      <c r="M17" s="819"/>
      <c r="N17" s="739"/>
      <c r="O17" s="739"/>
      <c r="P17" s="750"/>
      <c r="Q17" s="753"/>
      <c r="R17" s="226"/>
    </row>
    <row r="18" spans="1:18" ht="85.5" customHeight="1">
      <c r="A18" s="754"/>
      <c r="B18" s="727" t="s">
        <v>47</v>
      </c>
      <c r="C18" s="730" t="s">
        <v>11</v>
      </c>
      <c r="D18" s="733">
        <v>6.7857142859999997E-2</v>
      </c>
      <c r="E18" s="230" t="s">
        <v>125</v>
      </c>
      <c r="F18" s="296" t="s">
        <v>1197</v>
      </c>
      <c r="G18" s="296" t="s">
        <v>1143</v>
      </c>
      <c r="H18" s="296" t="s">
        <v>1144</v>
      </c>
      <c r="I18" s="296" t="s">
        <v>1145</v>
      </c>
      <c r="J18" s="296" t="s">
        <v>1146</v>
      </c>
      <c r="K18" s="232" t="str" cm="1">
        <f t="array" aca="1" ref="K18" ca="1">IFERROR(INDEX(F18:J18,6-L18),"")</f>
        <v>Demonstrated Level 9 in the PPST Indicator as shown in the COT rating sheets presented</v>
      </c>
      <c r="L18" s="734">
        <f ca="1">'Encoding Part 1'!I16</f>
        <v>5</v>
      </c>
      <c r="M18" s="850">
        <f>'Encoding Part 1'!J16</f>
        <v>0</v>
      </c>
      <c r="N18" s="826">
        <f>'Encoding Part 1'!K16</f>
        <v>0</v>
      </c>
      <c r="O18" s="826">
        <f>'Encoding Part 1'!L16</f>
        <v>0</v>
      </c>
      <c r="P18" s="748">
        <f ca="1">'Encoding Part 1'!M16</f>
        <v>5</v>
      </c>
      <c r="Q18" s="751">
        <f ca="1">'Encoding Part 1'!N16</f>
        <v>0.33928999999999998</v>
      </c>
      <c r="R18" s="226"/>
    </row>
    <row r="19" spans="1:18" ht="202.5" customHeight="1">
      <c r="A19" s="754"/>
      <c r="B19" s="770"/>
      <c r="C19" s="766"/>
      <c r="D19" s="767"/>
      <c r="E19" s="288" t="s">
        <v>126</v>
      </c>
      <c r="F19" s="231" t="s">
        <v>1198</v>
      </c>
      <c r="G19" s="231" t="s">
        <v>1199</v>
      </c>
      <c r="H19" s="231" t="s">
        <v>1200</v>
      </c>
      <c r="I19" s="231" t="s">
        <v>1201</v>
      </c>
      <c r="J19" s="231" t="s">
        <v>1094</v>
      </c>
      <c r="K19" s="289"/>
      <c r="L19" s="821"/>
      <c r="M19" s="821"/>
      <c r="N19" s="822"/>
      <c r="O19" s="822"/>
      <c r="P19" s="763"/>
      <c r="Q19" s="764"/>
      <c r="R19" s="226"/>
    </row>
    <row r="20" spans="1:18" ht="15.45" customHeight="1">
      <c r="A20" s="754"/>
      <c r="B20" s="728"/>
      <c r="C20" s="731"/>
      <c r="D20" s="731"/>
      <c r="E20" s="233" t="s">
        <v>7</v>
      </c>
      <c r="F20" s="234"/>
      <c r="G20" s="235"/>
      <c r="H20" s="235"/>
      <c r="I20" s="235"/>
      <c r="J20" s="235"/>
      <c r="K20" s="236" t="str" cm="1">
        <f t="array" ref="K20">IFERROR(INDEX(F20:J20,6-N18),"")</f>
        <v/>
      </c>
      <c r="L20" s="735"/>
      <c r="M20" s="735"/>
      <c r="N20" s="738"/>
      <c r="O20" s="738"/>
      <c r="P20" s="749"/>
      <c r="Q20" s="752"/>
      <c r="R20" s="226"/>
    </row>
    <row r="21" spans="1:18" ht="15.45" customHeight="1" thickBot="1">
      <c r="A21" s="755"/>
      <c r="B21" s="729"/>
      <c r="C21" s="732"/>
      <c r="D21" s="732"/>
      <c r="E21" s="237" t="s">
        <v>2</v>
      </c>
      <c r="F21" s="238"/>
      <c r="G21" s="239"/>
      <c r="H21" s="239"/>
      <c r="I21" s="239"/>
      <c r="J21" s="239"/>
      <c r="K21" s="239" t="str" cm="1">
        <f t="array" ref="K21">IFERROR(INDEX(F21:J21,6-O18),"")</f>
        <v/>
      </c>
      <c r="L21" s="736"/>
      <c r="M21" s="736"/>
      <c r="N21" s="739"/>
      <c r="O21" s="739"/>
      <c r="P21" s="750"/>
      <c r="Q21" s="753"/>
      <c r="R21" s="226"/>
    </row>
    <row r="22" spans="1:18" ht="76.05" customHeight="1">
      <c r="A22" s="759" t="s">
        <v>16</v>
      </c>
      <c r="B22" s="756" t="s">
        <v>48</v>
      </c>
      <c r="C22" s="730" t="s">
        <v>11</v>
      </c>
      <c r="D22" s="733">
        <v>6.7857142859999997E-2</v>
      </c>
      <c r="E22" s="230" t="s">
        <v>125</v>
      </c>
      <c r="F22" s="296" t="s">
        <v>1197</v>
      </c>
      <c r="G22" s="296" t="s">
        <v>1143</v>
      </c>
      <c r="H22" s="296" t="s">
        <v>1144</v>
      </c>
      <c r="I22" s="296" t="s">
        <v>1145</v>
      </c>
      <c r="J22" s="296" t="s">
        <v>1146</v>
      </c>
      <c r="K22" s="232" t="str" cm="1">
        <f t="array" aca="1" ref="K22" ca="1">IFERROR(INDEX(F22:J22,6-L22),"")</f>
        <v>Demonstrated Level 9 in the PPST Indicator as shown in the COT rating sheets presented</v>
      </c>
      <c r="L22" s="734">
        <f ca="1">'Encoding Part 1'!I17</f>
        <v>5</v>
      </c>
      <c r="M22" s="850">
        <f>'Encoding Part 1'!J17</f>
        <v>0</v>
      </c>
      <c r="N22" s="826">
        <f>'Encoding Part 1'!K17</f>
        <v>0</v>
      </c>
      <c r="O22" s="826">
        <f>'Encoding Part 1'!L17</f>
        <v>0</v>
      </c>
      <c r="P22" s="748">
        <f ca="1">'Encoding Part 1'!M17</f>
        <v>5</v>
      </c>
      <c r="Q22" s="751">
        <f ca="1">'Encoding Part 1'!N17</f>
        <v>0.33928999999999998</v>
      </c>
      <c r="R22" s="226"/>
    </row>
    <row r="23" spans="1:18" ht="151.5" customHeight="1">
      <c r="A23" s="754"/>
      <c r="B23" s="765"/>
      <c r="C23" s="766"/>
      <c r="D23" s="767"/>
      <c r="E23" s="288" t="s">
        <v>126</v>
      </c>
      <c r="F23" s="231" t="s">
        <v>1202</v>
      </c>
      <c r="G23" s="231" t="s">
        <v>1203</v>
      </c>
      <c r="H23" s="231" t="s">
        <v>1204</v>
      </c>
      <c r="I23" s="231" t="s">
        <v>1205</v>
      </c>
      <c r="J23" s="231" t="s">
        <v>1094</v>
      </c>
      <c r="K23" s="289"/>
      <c r="L23" s="821"/>
      <c r="M23" s="821"/>
      <c r="N23" s="822"/>
      <c r="O23" s="822"/>
      <c r="P23" s="763"/>
      <c r="Q23" s="764"/>
      <c r="R23" s="226"/>
    </row>
    <row r="24" spans="1:18">
      <c r="A24" s="754"/>
      <c r="B24" s="757"/>
      <c r="C24" s="731"/>
      <c r="D24" s="731"/>
      <c r="E24" s="233" t="s">
        <v>7</v>
      </c>
      <c r="F24" s="234"/>
      <c r="G24" s="235"/>
      <c r="H24" s="235"/>
      <c r="I24" s="235"/>
      <c r="J24" s="235"/>
      <c r="K24" s="236" t="str" cm="1">
        <f t="array" ref="K24">IFERROR(INDEX(F24:J24,6-N22),"")</f>
        <v/>
      </c>
      <c r="L24" s="735"/>
      <c r="M24" s="735"/>
      <c r="N24" s="738"/>
      <c r="O24" s="738"/>
      <c r="P24" s="749"/>
      <c r="Q24" s="752"/>
      <c r="R24" s="226"/>
    </row>
    <row r="25" spans="1:18" ht="15" thickBot="1">
      <c r="A25" s="754"/>
      <c r="B25" s="758"/>
      <c r="C25" s="732"/>
      <c r="D25" s="732"/>
      <c r="E25" s="237" t="s">
        <v>2</v>
      </c>
      <c r="F25" s="241"/>
      <c r="G25" s="239"/>
      <c r="H25" s="239"/>
      <c r="I25" s="239"/>
      <c r="J25" s="239"/>
      <c r="K25" s="239" t="str" cm="1">
        <f t="array" ref="K25">IFERROR(INDEX(F25:J25,6-O22),"")</f>
        <v/>
      </c>
      <c r="L25" s="736"/>
      <c r="M25" s="736"/>
      <c r="N25" s="739"/>
      <c r="O25" s="739"/>
      <c r="P25" s="750"/>
      <c r="Q25" s="753"/>
      <c r="R25" s="226"/>
    </row>
    <row r="26" spans="1:18" ht="76.5" customHeight="1">
      <c r="A26" s="754"/>
      <c r="B26" s="727" t="s">
        <v>49</v>
      </c>
      <c r="C26" s="730" t="s">
        <v>11</v>
      </c>
      <c r="D26" s="733">
        <v>6.7857142859999997E-2</v>
      </c>
      <c r="E26" s="230" t="s">
        <v>125</v>
      </c>
      <c r="F26" s="296" t="s">
        <v>1197</v>
      </c>
      <c r="G26" s="296" t="s">
        <v>1143</v>
      </c>
      <c r="H26" s="296" t="s">
        <v>1144</v>
      </c>
      <c r="I26" s="296" t="s">
        <v>1145</v>
      </c>
      <c r="J26" s="296" t="s">
        <v>1146</v>
      </c>
      <c r="K26" s="232" t="str" cm="1">
        <f t="array" aca="1" ref="K26" ca="1">IFERROR(INDEX(F26:J26,6-L26),"")</f>
        <v>Demonstrated Level 9 in the PPST Indicator as shown in the COT rating sheets presented</v>
      </c>
      <c r="L26" s="734">
        <f ca="1">'Encoding Part 1'!I18</f>
        <v>5</v>
      </c>
      <c r="M26" s="850">
        <f>'Encoding Part 1'!J18</f>
        <v>0</v>
      </c>
      <c r="N26" s="826">
        <f>'Encoding Part 1'!K18</f>
        <v>0</v>
      </c>
      <c r="O26" s="826">
        <f>'Encoding Part 1'!L18</f>
        <v>0</v>
      </c>
      <c r="P26" s="748">
        <f ca="1">'Encoding Part 1'!M18</f>
        <v>5</v>
      </c>
      <c r="Q26" s="751">
        <f ca="1">'Encoding Part 1'!N18</f>
        <v>0.33928999999999998</v>
      </c>
      <c r="R26" s="226"/>
    </row>
    <row r="27" spans="1:18" ht="130.94999999999999" customHeight="1">
      <c r="A27" s="754"/>
      <c r="B27" s="770"/>
      <c r="C27" s="766"/>
      <c r="D27" s="767"/>
      <c r="E27" s="288" t="s">
        <v>126</v>
      </c>
      <c r="F27" s="231" t="s">
        <v>1206</v>
      </c>
      <c r="G27" s="231" t="s">
        <v>1207</v>
      </c>
      <c r="H27" s="231" t="s">
        <v>1208</v>
      </c>
      <c r="I27" s="231" t="s">
        <v>1209</v>
      </c>
      <c r="J27" s="231" t="s">
        <v>1094</v>
      </c>
      <c r="K27" s="289"/>
      <c r="L27" s="821"/>
      <c r="M27" s="821"/>
      <c r="N27" s="822"/>
      <c r="O27" s="822"/>
      <c r="P27" s="763"/>
      <c r="Q27" s="764"/>
      <c r="R27" s="226"/>
    </row>
    <row r="28" spans="1:18">
      <c r="A28" s="754"/>
      <c r="B28" s="728"/>
      <c r="C28" s="731"/>
      <c r="D28" s="731"/>
      <c r="E28" s="233" t="s">
        <v>7</v>
      </c>
      <c r="F28" s="234"/>
      <c r="G28" s="235"/>
      <c r="H28" s="235"/>
      <c r="I28" s="235"/>
      <c r="J28" s="235"/>
      <c r="K28" s="236" t="str" cm="1">
        <f t="array" ref="K28">IFERROR(INDEX(F28:J28,6-N26),"")</f>
        <v/>
      </c>
      <c r="L28" s="735"/>
      <c r="M28" s="735"/>
      <c r="N28" s="738"/>
      <c r="O28" s="738"/>
      <c r="P28" s="749"/>
      <c r="Q28" s="752"/>
      <c r="R28" s="226"/>
    </row>
    <row r="29" spans="1:18" ht="15" thickBot="1">
      <c r="A29" s="755"/>
      <c r="B29" s="729"/>
      <c r="C29" s="732"/>
      <c r="D29" s="732"/>
      <c r="E29" s="237" t="s">
        <v>2</v>
      </c>
      <c r="F29" s="238"/>
      <c r="G29" s="239"/>
      <c r="H29" s="239"/>
      <c r="I29" s="239"/>
      <c r="J29" s="239"/>
      <c r="K29" s="239" t="str" cm="1">
        <f t="array" ref="K29">IFERROR(INDEX(F29:J29,6-O26),"")</f>
        <v/>
      </c>
      <c r="L29" s="736"/>
      <c r="M29" s="736"/>
      <c r="N29" s="739"/>
      <c r="O29" s="739"/>
      <c r="P29" s="750"/>
      <c r="Q29" s="753"/>
      <c r="R29" s="226"/>
    </row>
    <row r="30" spans="1:18" ht="76.05" customHeight="1">
      <c r="A30" s="759" t="s">
        <v>19</v>
      </c>
      <c r="B30" s="756" t="s">
        <v>1250</v>
      </c>
      <c r="C30" s="730" t="s">
        <v>11</v>
      </c>
      <c r="D30" s="733">
        <v>6.7857142859999997E-2</v>
      </c>
      <c r="E30" s="230" t="s">
        <v>125</v>
      </c>
      <c r="F30" s="296" t="s">
        <v>1197</v>
      </c>
      <c r="G30" s="296" t="s">
        <v>1143</v>
      </c>
      <c r="H30" s="296" t="s">
        <v>1144</v>
      </c>
      <c r="I30" s="296" t="s">
        <v>1145</v>
      </c>
      <c r="J30" s="296" t="s">
        <v>1146</v>
      </c>
      <c r="K30" s="232" t="str" cm="1">
        <f t="array" aca="1" ref="K30" ca="1">IFERROR(INDEX(F30:J30,6-L30),"")</f>
        <v>Demonstrated Level 8 in the PPST Indicator as shown in the COT rating sheets presented</v>
      </c>
      <c r="L30" s="734">
        <f ca="1">'Encoding Part 1'!I19</f>
        <v>4</v>
      </c>
      <c r="M30" s="850">
        <f>'Encoding Part 1'!J19</f>
        <v>0</v>
      </c>
      <c r="N30" s="826">
        <f>'Encoding Part 1'!K19</f>
        <v>0</v>
      </c>
      <c r="O30" s="826">
        <f>'Encoding Part 1'!L19</f>
        <v>0</v>
      </c>
      <c r="P30" s="748">
        <f ca="1">'Encoding Part 1'!M19</f>
        <v>4</v>
      </c>
      <c r="Q30" s="751">
        <f ca="1">'Encoding Part 1'!N19</f>
        <v>0.27143</v>
      </c>
      <c r="R30" s="226"/>
    </row>
    <row r="31" spans="1:18" ht="156" customHeight="1">
      <c r="A31" s="754"/>
      <c r="B31" s="765"/>
      <c r="C31" s="766"/>
      <c r="D31" s="767"/>
      <c r="E31" s="288" t="s">
        <v>126</v>
      </c>
      <c r="F31" s="231" t="s">
        <v>1210</v>
      </c>
      <c r="G31" s="231" t="s">
        <v>1211</v>
      </c>
      <c r="H31" s="231" t="s">
        <v>1212</v>
      </c>
      <c r="I31" s="231" t="s">
        <v>1213</v>
      </c>
      <c r="J31" s="231" t="s">
        <v>1094</v>
      </c>
      <c r="K31" s="289"/>
      <c r="L31" s="821"/>
      <c r="M31" s="821"/>
      <c r="N31" s="822"/>
      <c r="O31" s="822"/>
      <c r="P31" s="763"/>
      <c r="Q31" s="764"/>
      <c r="R31" s="226"/>
    </row>
    <row r="32" spans="1:18" ht="15.45" customHeight="1">
      <c r="A32" s="754"/>
      <c r="B32" s="757"/>
      <c r="C32" s="731"/>
      <c r="D32" s="731"/>
      <c r="E32" s="233" t="s">
        <v>7</v>
      </c>
      <c r="F32" s="234"/>
      <c r="G32" s="235"/>
      <c r="H32" s="235"/>
      <c r="I32" s="235"/>
      <c r="J32" s="235"/>
      <c r="K32" s="236" t="str" cm="1">
        <f t="array" ref="K32">IFERROR(INDEX(F32:J32,6-N30),"")</f>
        <v/>
      </c>
      <c r="L32" s="735"/>
      <c r="M32" s="735"/>
      <c r="N32" s="738"/>
      <c r="O32" s="738"/>
      <c r="P32" s="749"/>
      <c r="Q32" s="752"/>
      <c r="R32" s="226"/>
    </row>
    <row r="33" spans="1:18" ht="15.45" customHeight="1" thickBot="1">
      <c r="A33" s="755"/>
      <c r="B33" s="758"/>
      <c r="C33" s="732"/>
      <c r="D33" s="732"/>
      <c r="E33" s="237" t="s">
        <v>2</v>
      </c>
      <c r="F33" s="238"/>
      <c r="G33" s="239"/>
      <c r="H33" s="239"/>
      <c r="I33" s="239"/>
      <c r="J33" s="239"/>
      <c r="K33" s="239" t="str" cm="1">
        <f t="array" ref="K33">IFERROR(INDEX(F33:J33,6-O30),"")</f>
        <v/>
      </c>
      <c r="L33" s="736"/>
      <c r="M33" s="736"/>
      <c r="N33" s="739"/>
      <c r="O33" s="739"/>
      <c r="P33" s="750"/>
      <c r="Q33" s="753"/>
      <c r="R33" s="226"/>
    </row>
    <row r="34" spans="1:18" ht="78.45" customHeight="1">
      <c r="A34" s="759" t="s">
        <v>21</v>
      </c>
      <c r="B34" s="727" t="s">
        <v>50</v>
      </c>
      <c r="C34" s="730" t="s">
        <v>11</v>
      </c>
      <c r="D34" s="733">
        <v>6.7857142859999997E-2</v>
      </c>
      <c r="E34" s="230" t="s">
        <v>125</v>
      </c>
      <c r="F34" s="296" t="s">
        <v>1197</v>
      </c>
      <c r="G34" s="296" t="s">
        <v>1143</v>
      </c>
      <c r="H34" s="296" t="s">
        <v>1144</v>
      </c>
      <c r="I34" s="296" t="s">
        <v>1145</v>
      </c>
      <c r="J34" s="296" t="s">
        <v>1146</v>
      </c>
      <c r="K34" s="232" t="str" cm="1">
        <f t="array" aca="1" ref="K34" ca="1">IFERROR(INDEX(F34:J34,6-L34),"")</f>
        <v>Demonstrated Level 9 in the PPST Indicator as shown in the COT rating sheets presented</v>
      </c>
      <c r="L34" s="734">
        <f ca="1">'Encoding Part 1'!I20</f>
        <v>5</v>
      </c>
      <c r="M34" s="850">
        <f>'Encoding Part 1'!J20</f>
        <v>0</v>
      </c>
      <c r="N34" s="826">
        <f>'Encoding Part 1'!K20</f>
        <v>0</v>
      </c>
      <c r="O34" s="826">
        <f>'Encoding Part 1'!L20</f>
        <v>0</v>
      </c>
      <c r="P34" s="748">
        <f ca="1">'Encoding Part 1'!M20</f>
        <v>5</v>
      </c>
      <c r="Q34" s="751">
        <f ca="1">'Encoding Part 1'!N20</f>
        <v>0.33928999999999998</v>
      </c>
      <c r="R34" s="226"/>
    </row>
    <row r="35" spans="1:18" ht="172.95" customHeight="1">
      <c r="A35" s="754"/>
      <c r="B35" s="770"/>
      <c r="C35" s="766"/>
      <c r="D35" s="767"/>
      <c r="E35" s="288" t="s">
        <v>126</v>
      </c>
      <c r="F35" s="231" t="s">
        <v>1214</v>
      </c>
      <c r="G35" s="231" t="s">
        <v>1215</v>
      </c>
      <c r="H35" s="231" t="s">
        <v>1216</v>
      </c>
      <c r="I35" s="231" t="s">
        <v>1217</v>
      </c>
      <c r="J35" s="231" t="s">
        <v>1094</v>
      </c>
      <c r="K35" s="289"/>
      <c r="L35" s="821"/>
      <c r="M35" s="821"/>
      <c r="N35" s="822"/>
      <c r="O35" s="822"/>
      <c r="P35" s="763"/>
      <c r="Q35" s="764"/>
      <c r="R35" s="226"/>
    </row>
    <row r="36" spans="1:18" ht="15.45" customHeight="1">
      <c r="A36" s="754"/>
      <c r="B36" s="728"/>
      <c r="C36" s="731"/>
      <c r="D36" s="731"/>
      <c r="E36" s="233" t="s">
        <v>7</v>
      </c>
      <c r="F36" s="234"/>
      <c r="G36" s="235"/>
      <c r="H36" s="235"/>
      <c r="I36" s="235"/>
      <c r="J36" s="235"/>
      <c r="K36" s="236" t="str" cm="1">
        <f t="array" ref="K36">IFERROR(INDEX(F36:J36,6-N34),"")</f>
        <v/>
      </c>
      <c r="L36" s="735"/>
      <c r="M36" s="735"/>
      <c r="N36" s="738"/>
      <c r="O36" s="738"/>
      <c r="P36" s="749"/>
      <c r="Q36" s="752"/>
      <c r="R36" s="226"/>
    </row>
    <row r="37" spans="1:18" ht="15.45" customHeight="1" thickBot="1">
      <c r="A37" s="754"/>
      <c r="B37" s="729"/>
      <c r="C37" s="732"/>
      <c r="D37" s="732"/>
      <c r="E37" s="237" t="s">
        <v>2</v>
      </c>
      <c r="F37" s="238"/>
      <c r="G37" s="239"/>
      <c r="H37" s="239"/>
      <c r="I37" s="239"/>
      <c r="J37" s="239"/>
      <c r="K37" s="239" t="str" cm="1">
        <f t="array" ref="K37">IFERROR(INDEX(F37:J37,6-O34),"")</f>
        <v/>
      </c>
      <c r="L37" s="736"/>
      <c r="M37" s="736"/>
      <c r="N37" s="739"/>
      <c r="O37" s="739"/>
      <c r="P37" s="750"/>
      <c r="Q37" s="753"/>
      <c r="R37" s="226"/>
    </row>
    <row r="38" spans="1:18" ht="111.45" customHeight="1">
      <c r="A38" s="754"/>
      <c r="B38" s="727" t="s">
        <v>1251</v>
      </c>
      <c r="C38" s="730" t="s">
        <v>11</v>
      </c>
      <c r="D38" s="733">
        <v>6.7857142859999997E-2</v>
      </c>
      <c r="E38" s="230" t="s">
        <v>6</v>
      </c>
      <c r="F38" s="296" t="s">
        <v>1218</v>
      </c>
      <c r="G38" s="296" t="s">
        <v>1219</v>
      </c>
      <c r="H38" s="296" t="s">
        <v>1220</v>
      </c>
      <c r="I38" s="296" t="s">
        <v>1221</v>
      </c>
      <c r="J38" s="296" t="s">
        <v>1094</v>
      </c>
      <c r="K38" s="232" t="str" cm="1">
        <f t="array" ref="K38">IFERROR(INDEX(F38:J38,6-L38),"")</f>
        <v>Led colleagues in the implementation of innovative teaching strategies/ intervention that enrich the
teaching practice, as evidenced by MOV 4</v>
      </c>
      <c r="L38" s="734">
        <f>'Encoding Part 1'!I21</f>
        <v>5</v>
      </c>
      <c r="M38" s="849"/>
      <c r="N38" s="826">
        <f>'Encoding Part 1'!K21</f>
        <v>0</v>
      </c>
      <c r="O38" s="851">
        <f>'Encoding Part 1'!L21</f>
        <v>4</v>
      </c>
      <c r="P38" s="748">
        <f>'Encoding Part 1'!M21</f>
        <v>4.5</v>
      </c>
      <c r="Q38" s="751">
        <f>'Encoding Part 1'!N21</f>
        <v>0.30536000000000002</v>
      </c>
      <c r="R38" s="226"/>
    </row>
    <row r="39" spans="1:18">
      <c r="A39" s="754"/>
      <c r="B39" s="728"/>
      <c r="C39" s="731"/>
      <c r="D39" s="731"/>
      <c r="E39" s="233" t="s">
        <v>7</v>
      </c>
      <c r="F39" s="234"/>
      <c r="G39" s="235"/>
      <c r="H39" s="235"/>
      <c r="I39" s="235"/>
      <c r="J39" s="235"/>
      <c r="K39" s="236" t="str" cm="1">
        <f t="array" ref="K39">IFERROR(INDEX(F39:J39,6-N38),"")</f>
        <v/>
      </c>
      <c r="L39" s="735"/>
      <c r="M39" s="818"/>
      <c r="N39" s="738"/>
      <c r="O39" s="761"/>
      <c r="P39" s="749"/>
      <c r="Q39" s="752"/>
      <c r="R39" s="226"/>
    </row>
    <row r="40" spans="1:18" ht="100.95" customHeight="1" thickBot="1">
      <c r="A40" s="754"/>
      <c r="B40" s="729"/>
      <c r="C40" s="732"/>
      <c r="D40" s="732"/>
      <c r="E40" s="237" t="s">
        <v>2</v>
      </c>
      <c r="F40" s="297" t="s">
        <v>1222</v>
      </c>
      <c r="G40" s="297" t="s">
        <v>1223</v>
      </c>
      <c r="H40" s="297" t="s">
        <v>1224</v>
      </c>
      <c r="I40" s="297" t="s">
        <v>1225</v>
      </c>
      <c r="J40" s="297" t="s">
        <v>1094</v>
      </c>
      <c r="K40" s="243" t="str" cm="1">
        <f t="array" ref="K40">IFERROR(INDEX(F40:J40,6-O38),"")</f>
        <v>Guided colleagues in planning for and implementing strategies that enrich the teaching practice across 3 quarters as evidenced by MOV 2</v>
      </c>
      <c r="L40" s="736"/>
      <c r="M40" s="819"/>
      <c r="N40" s="739"/>
      <c r="O40" s="762"/>
      <c r="P40" s="750"/>
      <c r="Q40" s="753"/>
      <c r="R40" s="226"/>
    </row>
    <row r="41" spans="1:18" ht="78" customHeight="1">
      <c r="A41" s="754"/>
      <c r="B41" s="756" t="s">
        <v>51</v>
      </c>
      <c r="C41" s="730" t="s">
        <v>11</v>
      </c>
      <c r="D41" s="733">
        <v>6.7857142859999997E-2</v>
      </c>
      <c r="E41" s="230" t="s">
        <v>125</v>
      </c>
      <c r="F41" s="296" t="s">
        <v>1197</v>
      </c>
      <c r="G41" s="296" t="s">
        <v>1143</v>
      </c>
      <c r="H41" s="296" t="s">
        <v>1144</v>
      </c>
      <c r="I41" s="296" t="s">
        <v>1145</v>
      </c>
      <c r="J41" s="296" t="s">
        <v>1146</v>
      </c>
      <c r="K41" s="232" t="str" cm="1">
        <f t="array" aca="1" ref="K41" ca="1">IFERROR(INDEX(F41:J41,6-L41),"")</f>
        <v>Demonstrated Level 9 in the PPST Indicator as shown in the COT rating sheets presented</v>
      </c>
      <c r="L41" s="734">
        <f ca="1">'Encoding Part 1'!I22</f>
        <v>5</v>
      </c>
      <c r="M41" s="850">
        <f>'Encoding Part 1'!J22</f>
        <v>0</v>
      </c>
      <c r="N41" s="826">
        <f>'Encoding Part 1'!K22</f>
        <v>0</v>
      </c>
      <c r="O41" s="826">
        <f>'Encoding Part 1'!L22</f>
        <v>0</v>
      </c>
      <c r="P41" s="748">
        <f ca="1">'Encoding Part 1'!M22</f>
        <v>5</v>
      </c>
      <c r="Q41" s="751">
        <f ca="1">'Encoding Part 1'!N22</f>
        <v>0.33928999999999998</v>
      </c>
      <c r="R41" s="226"/>
    </row>
    <row r="42" spans="1:18" ht="133.5" customHeight="1">
      <c r="A42" s="754"/>
      <c r="B42" s="765"/>
      <c r="C42" s="766"/>
      <c r="D42" s="767"/>
      <c r="E42" s="288" t="s">
        <v>126</v>
      </c>
      <c r="F42" s="231" t="s">
        <v>1226</v>
      </c>
      <c r="G42" s="231" t="s">
        <v>1227</v>
      </c>
      <c r="H42" s="231" t="s">
        <v>1228</v>
      </c>
      <c r="I42" s="231" t="s">
        <v>1229</v>
      </c>
      <c r="J42" s="231" t="s">
        <v>1094</v>
      </c>
      <c r="K42" s="289"/>
      <c r="L42" s="821"/>
      <c r="M42" s="821"/>
      <c r="N42" s="822"/>
      <c r="O42" s="822"/>
      <c r="P42" s="763"/>
      <c r="Q42" s="764"/>
      <c r="R42" s="226"/>
    </row>
    <row r="43" spans="1:18">
      <c r="A43" s="754"/>
      <c r="B43" s="757"/>
      <c r="C43" s="731"/>
      <c r="D43" s="731"/>
      <c r="E43" s="233" t="s">
        <v>7</v>
      </c>
      <c r="F43" s="234"/>
      <c r="G43" s="235"/>
      <c r="H43" s="235"/>
      <c r="I43" s="235"/>
      <c r="J43" s="235"/>
      <c r="K43" s="236" t="str" cm="1">
        <f t="array" ref="K43">IFERROR(INDEX(F43:J43,6-N41),"")</f>
        <v/>
      </c>
      <c r="L43" s="735"/>
      <c r="M43" s="735"/>
      <c r="N43" s="738"/>
      <c r="O43" s="738"/>
      <c r="P43" s="749"/>
      <c r="Q43" s="752"/>
      <c r="R43" s="226"/>
    </row>
    <row r="44" spans="1:18" ht="15" thickBot="1">
      <c r="A44" s="754"/>
      <c r="B44" s="758"/>
      <c r="C44" s="732"/>
      <c r="D44" s="732"/>
      <c r="E44" s="237" t="s">
        <v>2</v>
      </c>
      <c r="F44" s="245"/>
      <c r="G44" s="239"/>
      <c r="H44" s="239"/>
      <c r="I44" s="239"/>
      <c r="J44" s="239"/>
      <c r="K44" s="239" t="str" cm="1">
        <f t="array" ref="K44">IFERROR(INDEX(F44:J44,6-O41),"")</f>
        <v/>
      </c>
      <c r="L44" s="736"/>
      <c r="M44" s="736"/>
      <c r="N44" s="739"/>
      <c r="O44" s="739"/>
      <c r="P44" s="750"/>
      <c r="Q44" s="753"/>
      <c r="R44" s="226"/>
    </row>
    <row r="45" spans="1:18" ht="76.95" customHeight="1">
      <c r="A45" s="754" t="s">
        <v>25</v>
      </c>
      <c r="B45" s="727" t="s">
        <v>1252</v>
      </c>
      <c r="C45" s="730" t="s">
        <v>11</v>
      </c>
      <c r="D45" s="733">
        <v>6.7857142859999997E-2</v>
      </c>
      <c r="E45" s="246" t="s">
        <v>125</v>
      </c>
      <c r="F45" s="296" t="s">
        <v>1197</v>
      </c>
      <c r="G45" s="296" t="s">
        <v>1143</v>
      </c>
      <c r="H45" s="296" t="s">
        <v>1144</v>
      </c>
      <c r="I45" s="296" t="s">
        <v>1145</v>
      </c>
      <c r="J45" s="296" t="s">
        <v>1146</v>
      </c>
      <c r="K45" s="232" t="str" cm="1">
        <f t="array" aca="1" ref="K45" ca="1">IFERROR(INDEX(F45:J45,6-L45),"")</f>
        <v>Demonstrated Level 8 in the PPST Indicator as shown in the COT rating sheets presented</v>
      </c>
      <c r="L45" s="734">
        <f ca="1">'Encoding Part 1'!I23</f>
        <v>4</v>
      </c>
      <c r="M45" s="850">
        <f>'Encoding Part 1'!J23</f>
        <v>0</v>
      </c>
      <c r="N45" s="826">
        <f>'Encoding Part 1'!K23</f>
        <v>0</v>
      </c>
      <c r="O45" s="826">
        <f>'Encoding Part 1'!L23</f>
        <v>0</v>
      </c>
      <c r="P45" s="748">
        <f ca="1">'Encoding Part 1'!M23</f>
        <v>4</v>
      </c>
      <c r="Q45" s="751">
        <f ca="1">'Encoding Part 1'!N23</f>
        <v>0.27143</v>
      </c>
      <c r="R45" s="226"/>
    </row>
    <row r="46" spans="1:18" ht="227.55" customHeight="1">
      <c r="A46" s="754"/>
      <c r="B46" s="770"/>
      <c r="C46" s="766"/>
      <c r="D46" s="767"/>
      <c r="E46" s="290" t="s">
        <v>126</v>
      </c>
      <c r="F46" s="231" t="s">
        <v>1230</v>
      </c>
      <c r="G46" s="231" t="s">
        <v>1231</v>
      </c>
      <c r="H46" s="231" t="s">
        <v>1232</v>
      </c>
      <c r="I46" s="231" t="s">
        <v>1233</v>
      </c>
      <c r="J46" s="231" t="s">
        <v>1094</v>
      </c>
      <c r="K46" s="289"/>
      <c r="L46" s="821"/>
      <c r="M46" s="821"/>
      <c r="N46" s="822"/>
      <c r="O46" s="822"/>
      <c r="P46" s="763"/>
      <c r="Q46" s="764"/>
      <c r="R46" s="226"/>
    </row>
    <row r="47" spans="1:18">
      <c r="A47" s="754"/>
      <c r="B47" s="728"/>
      <c r="C47" s="731"/>
      <c r="D47" s="731"/>
      <c r="E47" s="247" t="s">
        <v>7</v>
      </c>
      <c r="F47" s="234"/>
      <c r="G47" s="235"/>
      <c r="H47" s="235"/>
      <c r="I47" s="235"/>
      <c r="J47" s="235"/>
      <c r="K47" s="236" t="str" cm="1">
        <f t="array" ref="K47">IFERROR(INDEX(F47:J47,6-N45),"")</f>
        <v/>
      </c>
      <c r="L47" s="735"/>
      <c r="M47" s="735"/>
      <c r="N47" s="738"/>
      <c r="O47" s="738"/>
      <c r="P47" s="749"/>
      <c r="Q47" s="752"/>
      <c r="R47" s="226"/>
    </row>
    <row r="48" spans="1:18" ht="15" thickBot="1">
      <c r="A48" s="754"/>
      <c r="B48" s="729"/>
      <c r="C48" s="732"/>
      <c r="D48" s="732"/>
      <c r="E48" s="248" t="s">
        <v>2</v>
      </c>
      <c r="F48" s="249"/>
      <c r="G48" s="239"/>
      <c r="H48" s="239"/>
      <c r="I48" s="239"/>
      <c r="J48" s="239"/>
      <c r="K48" s="239" t="str" cm="1">
        <f t="array" ref="K48">IFERROR(INDEX(F48:J48,6-O45),"")</f>
        <v/>
      </c>
      <c r="L48" s="736"/>
      <c r="M48" s="736"/>
      <c r="N48" s="739"/>
      <c r="O48" s="739"/>
      <c r="P48" s="750"/>
      <c r="Q48" s="753"/>
      <c r="R48" s="226"/>
    </row>
    <row r="49" spans="1:18" ht="127.05" customHeight="1">
      <c r="A49" s="754"/>
      <c r="B49" s="756" t="s">
        <v>52</v>
      </c>
      <c r="C49" s="730" t="s">
        <v>11</v>
      </c>
      <c r="D49" s="733">
        <v>6.7857142859999997E-2</v>
      </c>
      <c r="E49" s="230" t="s">
        <v>6</v>
      </c>
      <c r="F49" s="296" t="s">
        <v>1234</v>
      </c>
      <c r="G49" s="296" t="s">
        <v>1237</v>
      </c>
      <c r="H49" s="296" t="s">
        <v>1235</v>
      </c>
      <c r="I49" s="296" t="s">
        <v>1236</v>
      </c>
      <c r="J49" s="296" t="s">
        <v>1094</v>
      </c>
      <c r="K49" s="232" t="str" cm="1">
        <f t="array" ref="K49">IFERROR(INDEX(F49:J49,6-L49),"")</f>
        <v>Planned a program for  teachers on the effective analysis and use of learner attainment of data, as evidenced by MOV 3</v>
      </c>
      <c r="L49" s="734">
        <f>'Encoding Part 1'!I24</f>
        <v>4</v>
      </c>
      <c r="M49" s="849"/>
      <c r="N49" s="826">
        <f>'Encoding Part 1'!K24</f>
        <v>0</v>
      </c>
      <c r="O49" s="826">
        <f>'Encoding Part 1'!L24</f>
        <v>0</v>
      </c>
      <c r="P49" s="748">
        <f>'Encoding Part 1'!M24</f>
        <v>4</v>
      </c>
      <c r="Q49" s="751">
        <f>'Encoding Part 1'!N24</f>
        <v>0.27143</v>
      </c>
      <c r="R49" s="226"/>
    </row>
    <row r="50" spans="1:18">
      <c r="A50" s="754"/>
      <c r="B50" s="757"/>
      <c r="C50" s="731"/>
      <c r="D50" s="731"/>
      <c r="E50" s="233" t="s">
        <v>7</v>
      </c>
      <c r="F50" s="250"/>
      <c r="G50" s="235"/>
      <c r="H50" s="235"/>
      <c r="I50" s="235"/>
      <c r="J50" s="235"/>
      <c r="K50" s="236" t="str" cm="1">
        <f t="array" ref="K50">IFERROR(INDEX(F50:J50,6-N49),"")</f>
        <v/>
      </c>
      <c r="L50" s="735"/>
      <c r="M50" s="818"/>
      <c r="N50" s="738"/>
      <c r="O50" s="738"/>
      <c r="P50" s="749"/>
      <c r="Q50" s="752"/>
      <c r="R50" s="226"/>
    </row>
    <row r="51" spans="1:18" ht="15" thickBot="1">
      <c r="A51" s="754"/>
      <c r="B51" s="758"/>
      <c r="C51" s="732"/>
      <c r="D51" s="732"/>
      <c r="E51" s="237" t="s">
        <v>2</v>
      </c>
      <c r="F51" s="251"/>
      <c r="G51" s="239"/>
      <c r="H51" s="239"/>
      <c r="I51" s="239"/>
      <c r="J51" s="239"/>
      <c r="K51" s="240" t="str" cm="1">
        <f t="array" ref="K51">IFERROR(INDEX(F51:J51,6-O49),"")</f>
        <v/>
      </c>
      <c r="L51" s="736"/>
      <c r="M51" s="819"/>
      <c r="N51" s="739"/>
      <c r="O51" s="739"/>
      <c r="P51" s="750"/>
      <c r="Q51" s="753"/>
      <c r="R51" s="226"/>
    </row>
    <row r="52" spans="1:18" ht="201.45" customHeight="1">
      <c r="A52" s="754"/>
      <c r="B52" s="727" t="s">
        <v>53</v>
      </c>
      <c r="C52" s="730" t="s">
        <v>11</v>
      </c>
      <c r="D52" s="733">
        <v>6.7857142859999997E-2</v>
      </c>
      <c r="E52" s="246" t="s">
        <v>6</v>
      </c>
      <c r="F52" s="296" t="s">
        <v>1238</v>
      </c>
      <c r="G52" s="296" t="s">
        <v>1239</v>
      </c>
      <c r="H52" s="296" t="s">
        <v>1240</v>
      </c>
      <c r="I52" s="296" t="s">
        <v>1241</v>
      </c>
      <c r="J52" s="296" t="s">
        <v>1094</v>
      </c>
      <c r="K52" s="232" t="str" cm="1">
        <f t="array" ref="K52">IFERROR(INDEX(F52:J52,6-L52),"")</f>
        <v>Maintained a sustainable collaborative system of sharing effective communication strategies of learner needs, progress, and achievement to key stakeholders, including parents/ guardians, as evidenced by MOV 4</v>
      </c>
      <c r="L52" s="734">
        <f>'Encoding Part 1'!I25</f>
        <v>5</v>
      </c>
      <c r="M52" s="849"/>
      <c r="N52" s="826"/>
      <c r="O52" s="826"/>
      <c r="P52" s="748">
        <f>'Encoding Part 1'!M25</f>
        <v>4.3333000000000004</v>
      </c>
      <c r="Q52" s="751">
        <f>'Encoding Part 1'!N25</f>
        <v>0.29404999999999998</v>
      </c>
      <c r="R52" s="226"/>
    </row>
    <row r="53" spans="1:18" ht="15.45" customHeight="1">
      <c r="A53" s="754"/>
      <c r="B53" s="728"/>
      <c r="C53" s="731"/>
      <c r="D53" s="731"/>
      <c r="E53" s="247" t="s">
        <v>7</v>
      </c>
      <c r="F53" s="250"/>
      <c r="G53" s="235"/>
      <c r="H53" s="235"/>
      <c r="I53" s="235"/>
      <c r="J53" s="235"/>
      <c r="K53" s="236"/>
      <c r="L53" s="735"/>
      <c r="M53" s="818"/>
      <c r="N53" s="738"/>
      <c r="O53" s="738"/>
      <c r="P53" s="749"/>
      <c r="Q53" s="752"/>
      <c r="R53" s="226"/>
    </row>
    <row r="54" spans="1:18" ht="15.45" customHeight="1" thickBot="1">
      <c r="A54" s="754"/>
      <c r="B54" s="729"/>
      <c r="C54" s="732"/>
      <c r="D54" s="732"/>
      <c r="E54" s="248" t="s">
        <v>2</v>
      </c>
      <c r="F54" s="251"/>
      <c r="G54" s="239"/>
      <c r="H54" s="239"/>
      <c r="I54" s="239"/>
      <c r="J54" s="239"/>
      <c r="K54" s="240"/>
      <c r="L54" s="736"/>
      <c r="M54" s="819"/>
      <c r="N54" s="739"/>
      <c r="O54" s="739"/>
      <c r="P54" s="750"/>
      <c r="Q54" s="753"/>
      <c r="R54" s="226"/>
    </row>
    <row r="55" spans="1:18" ht="154.05000000000001" customHeight="1">
      <c r="A55" s="754" t="s">
        <v>28</v>
      </c>
      <c r="B55" s="727" t="s">
        <v>54</v>
      </c>
      <c r="C55" s="730" t="s">
        <v>11</v>
      </c>
      <c r="D55" s="733">
        <v>6.7857142859999997E-2</v>
      </c>
      <c r="E55" s="254" t="s">
        <v>6</v>
      </c>
      <c r="F55" s="296" t="s">
        <v>1242</v>
      </c>
      <c r="G55" s="296" t="s">
        <v>1243</v>
      </c>
      <c r="H55" s="296" t="s">
        <v>1244</v>
      </c>
      <c r="I55" s="296" t="s">
        <v>1245</v>
      </c>
      <c r="J55" s="296" t="s">
        <v>1094</v>
      </c>
      <c r="K55" s="232" t="str" cm="1">
        <f t="array" ref="K55">IFERROR(INDEX(F55:J55,6-L55),"")</f>
        <v>Contributed to the professional growth of colleagues in enhancing their own learnercentered approach by providing constructive feedback on their teaching practices, as evidenced by MOV 4</v>
      </c>
      <c r="L55" s="734">
        <f>'Encoding Part 1'!I26</f>
        <v>4</v>
      </c>
      <c r="M55" s="849"/>
      <c r="N55" s="826">
        <f>'Encoding Part 1'!K26</f>
        <v>0</v>
      </c>
      <c r="O55" s="826">
        <f>'Encoding Part 1'!L26</f>
        <v>0</v>
      </c>
      <c r="P55" s="748">
        <f>'Encoding Part 1'!M26</f>
        <v>4</v>
      </c>
      <c r="Q55" s="751">
        <f>'Encoding Part 1'!N26</f>
        <v>0.27143</v>
      </c>
      <c r="R55" s="226"/>
    </row>
    <row r="56" spans="1:18">
      <c r="A56" s="754"/>
      <c r="B56" s="728"/>
      <c r="C56" s="731"/>
      <c r="D56" s="731"/>
      <c r="E56" s="233" t="s">
        <v>7</v>
      </c>
      <c r="F56" s="255"/>
      <c r="G56" s="235"/>
      <c r="H56" s="235"/>
      <c r="I56" s="235"/>
      <c r="J56" s="235"/>
      <c r="K56" s="236" t="str" cm="1">
        <f t="array" ref="K56">IFERROR(INDEX(F56:J56,6-N55),"")</f>
        <v/>
      </c>
      <c r="L56" s="735"/>
      <c r="M56" s="818"/>
      <c r="N56" s="738"/>
      <c r="O56" s="738"/>
      <c r="P56" s="749"/>
      <c r="Q56" s="752"/>
      <c r="R56" s="226"/>
    </row>
    <row r="57" spans="1:18" ht="15" thickBot="1">
      <c r="A57" s="754"/>
      <c r="B57" s="729"/>
      <c r="C57" s="732"/>
      <c r="D57" s="732"/>
      <c r="E57" s="256" t="s">
        <v>2</v>
      </c>
      <c r="F57" s="257"/>
      <c r="G57" s="239"/>
      <c r="H57" s="239"/>
      <c r="I57" s="239"/>
      <c r="J57" s="239"/>
      <c r="K57" s="239" t="str" cm="1">
        <f t="array" ref="K57">IFERROR(INDEX(F57:J57,6-O55),"")</f>
        <v/>
      </c>
      <c r="L57" s="736"/>
      <c r="M57" s="819"/>
      <c r="N57" s="739"/>
      <c r="O57" s="739"/>
      <c r="P57" s="750"/>
      <c r="Q57" s="753"/>
      <c r="R57" s="226"/>
    </row>
    <row r="58" spans="1:18" ht="208.5" customHeight="1">
      <c r="A58" s="754"/>
      <c r="B58" s="727" t="s">
        <v>1249</v>
      </c>
      <c r="C58" s="730" t="s">
        <v>11</v>
      </c>
      <c r="D58" s="733">
        <v>6.7857142859999997E-2</v>
      </c>
      <c r="E58" s="230" t="s">
        <v>6</v>
      </c>
      <c r="F58" s="258" t="s">
        <v>1246</v>
      </c>
      <c r="G58" s="232" t="s">
        <v>1253</v>
      </c>
      <c r="H58" s="232" t="s">
        <v>1247</v>
      </c>
      <c r="I58" s="232" t="s">
        <v>1248</v>
      </c>
      <c r="J58" s="298" t="s">
        <v>1094</v>
      </c>
      <c r="K58" s="232" t="str" cm="1">
        <f t="array" ref="K58">IFERROR(INDEX(F58:J58,6-L58),"")</f>
        <v>Designed and led sustainable professional development reforms grounded in deep expertise in the PPST, withformal evidence of long-term institutional adoption, policy integration, or system-level influence, as evidenced by MOV 6</v>
      </c>
      <c r="L58" s="734">
        <f>'Encoding Part 1'!I27</f>
        <v>5</v>
      </c>
      <c r="M58" s="849"/>
      <c r="N58" s="826"/>
      <c r="O58" s="826"/>
      <c r="P58" s="748">
        <f>'Encoding Part 1'!M27</f>
        <v>4.3333000000000004</v>
      </c>
      <c r="Q58" s="751">
        <f>'Encoding Part 1'!N27</f>
        <v>0.29404999999999998</v>
      </c>
      <c r="R58" s="226"/>
    </row>
    <row r="59" spans="1:18">
      <c r="A59" s="754"/>
      <c r="B59" s="728"/>
      <c r="C59" s="731"/>
      <c r="D59" s="731"/>
      <c r="E59" s="233" t="s">
        <v>7</v>
      </c>
      <c r="F59" s="255"/>
      <c r="G59" s="235"/>
      <c r="H59" s="235"/>
      <c r="I59" s="235"/>
      <c r="J59" s="235"/>
      <c r="K59" s="236"/>
      <c r="L59" s="735"/>
      <c r="M59" s="818"/>
      <c r="N59" s="738"/>
      <c r="O59" s="738"/>
      <c r="P59" s="749"/>
      <c r="Q59" s="752"/>
      <c r="R59" s="226"/>
    </row>
    <row r="60" spans="1:18" ht="15" thickBot="1">
      <c r="A60" s="780"/>
      <c r="B60" s="729"/>
      <c r="C60" s="732"/>
      <c r="D60" s="732"/>
      <c r="E60" s="256" t="s">
        <v>2</v>
      </c>
      <c r="F60" s="257"/>
      <c r="G60" s="239"/>
      <c r="H60" s="239"/>
      <c r="I60" s="239"/>
      <c r="J60" s="239"/>
      <c r="K60" s="239"/>
      <c r="L60" s="736"/>
      <c r="M60" s="819"/>
      <c r="N60" s="739"/>
      <c r="O60" s="739"/>
      <c r="P60" s="750"/>
      <c r="Q60" s="753"/>
      <c r="R60" s="226"/>
    </row>
    <row r="61" spans="1:18" ht="14.55" hidden="1" customHeight="1">
      <c r="A61" s="262"/>
      <c r="B61" s="263"/>
      <c r="C61" s="264"/>
      <c r="D61" s="265"/>
      <c r="E61" s="266" t="s">
        <v>7</v>
      </c>
      <c r="F61" s="267" t="s">
        <v>176</v>
      </c>
      <c r="G61" s="267" t="s">
        <v>176</v>
      </c>
      <c r="H61" s="267" t="s">
        <v>176</v>
      </c>
      <c r="I61" s="267" t="s">
        <v>176</v>
      </c>
      <c r="J61" s="267" t="s">
        <v>176</v>
      </c>
      <c r="K61" s="268" t="str" cm="1">
        <f t="array" ref="K61">IFERROR(INDEX(F61:J61,6-#REF!),"")</f>
        <v/>
      </c>
      <c r="L61" s="775"/>
      <c r="M61" s="266"/>
      <c r="N61" s="775"/>
      <c r="O61" s="775"/>
      <c r="P61" s="763"/>
      <c r="Q61" s="764"/>
      <c r="R61" s="226"/>
    </row>
    <row r="62" spans="1:18" ht="14.55" hidden="1" customHeight="1">
      <c r="A62" s="262"/>
      <c r="B62" s="269"/>
      <c r="C62" s="270"/>
      <c r="D62" s="271"/>
      <c r="E62" s="242" t="s">
        <v>2</v>
      </c>
      <c r="F62" s="272" t="s">
        <v>176</v>
      </c>
      <c r="G62" s="272" t="s">
        <v>176</v>
      </c>
      <c r="H62" s="272" t="s">
        <v>176</v>
      </c>
      <c r="I62" s="272" t="s">
        <v>176</v>
      </c>
      <c r="J62" s="272" t="s">
        <v>176</v>
      </c>
      <c r="K62" s="272" t="str" cm="1">
        <f t="array" ref="K62">IFERROR(INDEX(F62:J62,6-#REF!),"")</f>
        <v/>
      </c>
      <c r="L62" s="761"/>
      <c r="M62" s="242"/>
      <c r="N62" s="761"/>
      <c r="O62" s="761"/>
      <c r="P62" s="749"/>
      <c r="Q62" s="752"/>
      <c r="R62" s="226"/>
    </row>
    <row r="63" spans="1:18" hidden="1">
      <c r="A63" s="771" t="s">
        <v>176</v>
      </c>
      <c r="B63" s="772" t="s">
        <v>176</v>
      </c>
      <c r="C63" s="773" t="e">
        <v>#REF!</v>
      </c>
      <c r="D63" s="774">
        <v>0</v>
      </c>
      <c r="E63" s="242" t="s">
        <v>6</v>
      </c>
      <c r="F63" s="272" t="s">
        <v>176</v>
      </c>
      <c r="G63" s="272" t="s">
        <v>176</v>
      </c>
      <c r="H63" s="272" t="s">
        <v>176</v>
      </c>
      <c r="I63" s="272" t="s">
        <v>176</v>
      </c>
      <c r="J63" s="272" t="s">
        <v>176</v>
      </c>
      <c r="K63" s="273" t="str" cm="1">
        <f t="array" ref="K63">IFERROR(INDEX(F63:J63,6-L63),"")</f>
        <v/>
      </c>
      <c r="L63" s="761" t="s">
        <v>176</v>
      </c>
      <c r="M63" s="242"/>
      <c r="N63" s="761" t="s">
        <v>176</v>
      </c>
      <c r="O63" s="761" t="s">
        <v>176</v>
      </c>
      <c r="P63" s="749">
        <f t="shared" ref="P63" si="0">IFERROR(ROUNDDOWN(AVERAGE($L63:$O63),3),0)</f>
        <v>0</v>
      </c>
      <c r="Q63" s="752">
        <f t="shared" ref="Q63" si="1">ROUNDDOWN($P63*$D63,3)</f>
        <v>0</v>
      </c>
      <c r="R63" s="226"/>
    </row>
    <row r="64" spans="1:18" hidden="1">
      <c r="A64" s="771"/>
      <c r="B64" s="772"/>
      <c r="C64" s="773"/>
      <c r="D64" s="774"/>
      <c r="E64" s="242" t="s">
        <v>7</v>
      </c>
      <c r="F64" s="272" t="s">
        <v>176</v>
      </c>
      <c r="G64" s="272" t="s">
        <v>176</v>
      </c>
      <c r="H64" s="272" t="s">
        <v>176</v>
      </c>
      <c r="I64" s="272" t="s">
        <v>176</v>
      </c>
      <c r="J64" s="272" t="s">
        <v>176</v>
      </c>
      <c r="K64" s="273" t="str" cm="1">
        <f t="array" ref="K64">IFERROR(INDEX(F64:J64,6-N63),"")</f>
        <v/>
      </c>
      <c r="L64" s="761"/>
      <c r="M64" s="242"/>
      <c r="N64" s="761"/>
      <c r="O64" s="761"/>
      <c r="P64" s="749"/>
      <c r="Q64" s="752"/>
      <c r="R64" s="226"/>
    </row>
    <row r="65" spans="1:18" hidden="1">
      <c r="A65" s="771"/>
      <c r="B65" s="772"/>
      <c r="C65" s="773"/>
      <c r="D65" s="774"/>
      <c r="E65" s="242" t="s">
        <v>2</v>
      </c>
      <c r="F65" s="272" t="s">
        <v>176</v>
      </c>
      <c r="G65" s="272" t="s">
        <v>176</v>
      </c>
      <c r="H65" s="272" t="s">
        <v>176</v>
      </c>
      <c r="I65" s="272" t="s">
        <v>176</v>
      </c>
      <c r="J65" s="272" t="s">
        <v>176</v>
      </c>
      <c r="K65" s="272" t="str" cm="1">
        <f t="array" ref="K65">IFERROR(INDEX(F65:J65,6-O63),"")</f>
        <v/>
      </c>
      <c r="L65" s="761"/>
      <c r="M65" s="242"/>
      <c r="N65" s="761"/>
      <c r="O65" s="761"/>
      <c r="P65" s="749"/>
      <c r="Q65" s="752"/>
      <c r="R65" s="226"/>
    </row>
    <row r="66" spans="1:18" hidden="1">
      <c r="A66" s="771" t="s">
        <v>176</v>
      </c>
      <c r="B66" s="772" t="s">
        <v>176</v>
      </c>
      <c r="C66" s="773" t="e">
        <v>#REF!</v>
      </c>
      <c r="D66" s="774">
        <v>0</v>
      </c>
      <c r="E66" s="242" t="s">
        <v>6</v>
      </c>
      <c r="F66" s="272" t="s">
        <v>176</v>
      </c>
      <c r="G66" s="272" t="s">
        <v>176</v>
      </c>
      <c r="H66" s="272" t="s">
        <v>176</v>
      </c>
      <c r="I66" s="272" t="s">
        <v>176</v>
      </c>
      <c r="J66" s="272" t="s">
        <v>176</v>
      </c>
      <c r="K66" s="273" t="str" cm="1">
        <f t="array" ref="K66">IFERROR(INDEX(F66:J66,6-L66),"")</f>
        <v/>
      </c>
      <c r="L66" s="761" t="s">
        <v>176</v>
      </c>
      <c r="M66" s="242"/>
      <c r="N66" s="761" t="s">
        <v>176</v>
      </c>
      <c r="O66" s="761" t="s">
        <v>176</v>
      </c>
      <c r="P66" s="749">
        <f t="shared" ref="P66" si="2">IFERROR(ROUNDDOWN(AVERAGE($L66:$O66),3),0)</f>
        <v>0</v>
      </c>
      <c r="Q66" s="752">
        <f t="shared" ref="Q66" si="3">ROUNDDOWN($P66*$D66,3)</f>
        <v>0</v>
      </c>
      <c r="R66" s="226"/>
    </row>
    <row r="67" spans="1:18" hidden="1">
      <c r="A67" s="771"/>
      <c r="B67" s="772"/>
      <c r="C67" s="773"/>
      <c r="D67" s="774"/>
      <c r="E67" s="242" t="s">
        <v>7</v>
      </c>
      <c r="F67" s="272" t="s">
        <v>176</v>
      </c>
      <c r="G67" s="272" t="s">
        <v>176</v>
      </c>
      <c r="H67" s="272" t="s">
        <v>176</v>
      </c>
      <c r="I67" s="272" t="s">
        <v>176</v>
      </c>
      <c r="J67" s="272" t="s">
        <v>176</v>
      </c>
      <c r="K67" s="273" t="str" cm="1">
        <f t="array" ref="K67">IFERROR(INDEX(F67:J67,6-N66),"")</f>
        <v/>
      </c>
      <c r="L67" s="761"/>
      <c r="M67" s="242"/>
      <c r="N67" s="761"/>
      <c r="O67" s="761"/>
      <c r="P67" s="749"/>
      <c r="Q67" s="752"/>
      <c r="R67" s="226"/>
    </row>
    <row r="68" spans="1:18" hidden="1">
      <c r="A68" s="771"/>
      <c r="B68" s="772"/>
      <c r="C68" s="773"/>
      <c r="D68" s="774"/>
      <c r="E68" s="242" t="s">
        <v>2</v>
      </c>
      <c r="F68" s="272" t="s">
        <v>176</v>
      </c>
      <c r="G68" s="272" t="s">
        <v>176</v>
      </c>
      <c r="H68" s="272" t="s">
        <v>176</v>
      </c>
      <c r="I68" s="272" t="s">
        <v>176</v>
      </c>
      <c r="J68" s="272" t="s">
        <v>176</v>
      </c>
      <c r="K68" s="272" t="str" cm="1">
        <f t="array" ref="K68">IFERROR(INDEX(F68:J68,6-O66),"")</f>
        <v/>
      </c>
      <c r="L68" s="761"/>
      <c r="M68" s="242"/>
      <c r="N68" s="761"/>
      <c r="O68" s="761"/>
      <c r="P68" s="749"/>
      <c r="Q68" s="752"/>
      <c r="R68" s="226"/>
    </row>
    <row r="69" spans="1:18" hidden="1">
      <c r="A69" s="771" t="s">
        <v>176</v>
      </c>
      <c r="B69" s="772" t="s">
        <v>176</v>
      </c>
      <c r="C69" s="773" t="e">
        <v>#REF!</v>
      </c>
      <c r="D69" s="774">
        <v>0</v>
      </c>
      <c r="E69" s="242" t="s">
        <v>6</v>
      </c>
      <c r="F69" s="272" t="s">
        <v>176</v>
      </c>
      <c r="G69" s="272" t="s">
        <v>176</v>
      </c>
      <c r="H69" s="272" t="s">
        <v>176</v>
      </c>
      <c r="I69" s="272" t="s">
        <v>176</v>
      </c>
      <c r="J69" s="272" t="s">
        <v>176</v>
      </c>
      <c r="K69" s="273" t="str" cm="1">
        <f t="array" ref="K69">IFERROR(INDEX(F69:J69,6-L69),"")</f>
        <v/>
      </c>
      <c r="L69" s="761" t="s">
        <v>176</v>
      </c>
      <c r="M69" s="242"/>
      <c r="N69" s="761" t="s">
        <v>176</v>
      </c>
      <c r="O69" s="761" t="s">
        <v>176</v>
      </c>
      <c r="P69" s="749">
        <f t="shared" ref="P69" si="4">IFERROR(ROUNDDOWN(AVERAGE($L69:$O69),3),0)</f>
        <v>0</v>
      </c>
      <c r="Q69" s="752">
        <f t="shared" ref="Q69" si="5">ROUNDDOWN($P69*$D69,3)</f>
        <v>0</v>
      </c>
      <c r="R69" s="226"/>
    </row>
    <row r="70" spans="1:18" hidden="1">
      <c r="A70" s="771"/>
      <c r="B70" s="772"/>
      <c r="C70" s="773"/>
      <c r="D70" s="774"/>
      <c r="E70" s="242" t="s">
        <v>7</v>
      </c>
      <c r="F70" s="272" t="s">
        <v>176</v>
      </c>
      <c r="G70" s="272" t="s">
        <v>176</v>
      </c>
      <c r="H70" s="272" t="s">
        <v>176</v>
      </c>
      <c r="I70" s="272" t="s">
        <v>176</v>
      </c>
      <c r="J70" s="272" t="s">
        <v>176</v>
      </c>
      <c r="K70" s="273" t="str" cm="1">
        <f t="array" ref="K70">IFERROR(INDEX(F70:J70,6-N69),"")</f>
        <v/>
      </c>
      <c r="L70" s="761"/>
      <c r="M70" s="242"/>
      <c r="N70" s="761"/>
      <c r="O70" s="761"/>
      <c r="P70" s="749"/>
      <c r="Q70" s="752"/>
      <c r="R70" s="226"/>
    </row>
    <row r="71" spans="1:18" hidden="1">
      <c r="A71" s="771"/>
      <c r="B71" s="772"/>
      <c r="C71" s="773"/>
      <c r="D71" s="774"/>
      <c r="E71" s="242" t="s">
        <v>2</v>
      </c>
      <c r="F71" s="272" t="s">
        <v>176</v>
      </c>
      <c r="G71" s="272" t="s">
        <v>176</v>
      </c>
      <c r="H71" s="272" t="s">
        <v>176</v>
      </c>
      <c r="I71" s="272" t="s">
        <v>176</v>
      </c>
      <c r="J71" s="272" t="s">
        <v>176</v>
      </c>
      <c r="K71" s="272" t="str" cm="1">
        <f t="array" ref="K71">IFERROR(INDEX(F71:J71,6-O69),"")</f>
        <v/>
      </c>
      <c r="L71" s="761"/>
      <c r="M71" s="242"/>
      <c r="N71" s="761"/>
      <c r="O71" s="761"/>
      <c r="P71" s="749"/>
      <c r="Q71" s="752"/>
      <c r="R71" s="226"/>
    </row>
    <row r="72" spans="1:18" hidden="1">
      <c r="A72" s="771" t="s">
        <v>176</v>
      </c>
      <c r="B72" s="772" t="s">
        <v>176</v>
      </c>
      <c r="C72" s="773" t="e">
        <v>#REF!</v>
      </c>
      <c r="D72" s="774">
        <v>0</v>
      </c>
      <c r="E72" s="242" t="s">
        <v>6</v>
      </c>
      <c r="F72" s="272" t="s">
        <v>176</v>
      </c>
      <c r="G72" s="272" t="s">
        <v>176</v>
      </c>
      <c r="H72" s="272" t="s">
        <v>176</v>
      </c>
      <c r="I72" s="272" t="s">
        <v>176</v>
      </c>
      <c r="J72" s="272" t="s">
        <v>176</v>
      </c>
      <c r="K72" s="273" t="str" cm="1">
        <f t="array" ref="K72">IFERROR(INDEX(F72:J72,6-L72),"")</f>
        <v/>
      </c>
      <c r="L72" s="761" t="s">
        <v>176</v>
      </c>
      <c r="M72" s="242"/>
      <c r="N72" s="761" t="s">
        <v>176</v>
      </c>
      <c r="O72" s="761" t="s">
        <v>176</v>
      </c>
      <c r="P72" s="749">
        <f t="shared" ref="P72" si="6">IFERROR(ROUNDDOWN(AVERAGE($L72:$O72),3),0)</f>
        <v>0</v>
      </c>
      <c r="Q72" s="752">
        <f t="shared" ref="Q72" si="7">ROUNDDOWN($P72*$D72,3)</f>
        <v>0</v>
      </c>
      <c r="R72" s="226"/>
    </row>
    <row r="73" spans="1:18" hidden="1">
      <c r="A73" s="771"/>
      <c r="B73" s="772"/>
      <c r="C73" s="773"/>
      <c r="D73" s="774"/>
      <c r="E73" s="242" t="s">
        <v>7</v>
      </c>
      <c r="F73" s="272" t="s">
        <v>176</v>
      </c>
      <c r="G73" s="272" t="s">
        <v>176</v>
      </c>
      <c r="H73" s="272" t="s">
        <v>176</v>
      </c>
      <c r="I73" s="272" t="s">
        <v>176</v>
      </c>
      <c r="J73" s="272" t="s">
        <v>176</v>
      </c>
      <c r="K73" s="273" t="str" cm="1">
        <f t="array" ref="K73">IFERROR(INDEX(F73:J73,6-N72),"")</f>
        <v/>
      </c>
      <c r="L73" s="761"/>
      <c r="M73" s="242"/>
      <c r="N73" s="761"/>
      <c r="O73" s="761"/>
      <c r="P73" s="749"/>
      <c r="Q73" s="752"/>
      <c r="R73" s="226"/>
    </row>
    <row r="74" spans="1:18" hidden="1">
      <c r="A74" s="771"/>
      <c r="B74" s="772"/>
      <c r="C74" s="773"/>
      <c r="D74" s="774"/>
      <c r="E74" s="242" t="s">
        <v>2</v>
      </c>
      <c r="F74" s="272" t="s">
        <v>176</v>
      </c>
      <c r="G74" s="272" t="s">
        <v>176</v>
      </c>
      <c r="H74" s="272" t="s">
        <v>176</v>
      </c>
      <c r="I74" s="272" t="s">
        <v>176</v>
      </c>
      <c r="J74" s="272" t="s">
        <v>176</v>
      </c>
      <c r="K74" s="272" t="str" cm="1">
        <f t="array" ref="K74">IFERROR(INDEX(F74:J74,6-O72),"")</f>
        <v/>
      </c>
      <c r="L74" s="761"/>
      <c r="M74" s="242"/>
      <c r="N74" s="761"/>
      <c r="O74" s="761"/>
      <c r="P74" s="749"/>
      <c r="Q74" s="752"/>
      <c r="R74" s="226"/>
    </row>
    <row r="75" spans="1:18" hidden="1">
      <c r="A75" s="771" t="s">
        <v>176</v>
      </c>
      <c r="B75" s="772" t="s">
        <v>176</v>
      </c>
      <c r="C75" s="773" t="e">
        <v>#REF!</v>
      </c>
      <c r="D75" s="774">
        <v>0</v>
      </c>
      <c r="E75" s="242" t="s">
        <v>6</v>
      </c>
      <c r="F75" s="272" t="s">
        <v>176</v>
      </c>
      <c r="G75" s="272" t="s">
        <v>176</v>
      </c>
      <c r="H75" s="272" t="s">
        <v>176</v>
      </c>
      <c r="I75" s="272" t="s">
        <v>176</v>
      </c>
      <c r="J75" s="272" t="s">
        <v>176</v>
      </c>
      <c r="K75" s="273" t="str" cm="1">
        <f t="array" ref="K75">IFERROR(INDEX(F75:J75,6-L75),"")</f>
        <v/>
      </c>
      <c r="L75" s="761" t="s">
        <v>176</v>
      </c>
      <c r="M75" s="242"/>
      <c r="N75" s="761" t="s">
        <v>176</v>
      </c>
      <c r="O75" s="761" t="s">
        <v>176</v>
      </c>
      <c r="P75" s="749">
        <f t="shared" ref="P75" si="8">IFERROR(ROUNDDOWN(AVERAGE($L75:$O75),3),0)</f>
        <v>0</v>
      </c>
      <c r="Q75" s="752">
        <f t="shared" ref="Q75" si="9">ROUNDDOWN($P75*$D75,3)</f>
        <v>0</v>
      </c>
      <c r="R75" s="226"/>
    </row>
    <row r="76" spans="1:18" hidden="1">
      <c r="A76" s="771"/>
      <c r="B76" s="772"/>
      <c r="C76" s="773"/>
      <c r="D76" s="774"/>
      <c r="E76" s="242" t="s">
        <v>7</v>
      </c>
      <c r="F76" s="272" t="s">
        <v>176</v>
      </c>
      <c r="G76" s="272" t="s">
        <v>176</v>
      </c>
      <c r="H76" s="272" t="s">
        <v>176</v>
      </c>
      <c r="I76" s="272" t="s">
        <v>176</v>
      </c>
      <c r="J76" s="272" t="s">
        <v>176</v>
      </c>
      <c r="K76" s="273" t="str" cm="1">
        <f t="array" ref="K76">IFERROR(INDEX(F76:J76,6-N75),"")</f>
        <v/>
      </c>
      <c r="L76" s="761"/>
      <c r="M76" s="242"/>
      <c r="N76" s="761"/>
      <c r="O76" s="761"/>
      <c r="P76" s="749"/>
      <c r="Q76" s="752"/>
      <c r="R76" s="226"/>
    </row>
    <row r="77" spans="1:18" hidden="1">
      <c r="A77" s="771"/>
      <c r="B77" s="772"/>
      <c r="C77" s="773"/>
      <c r="D77" s="774"/>
      <c r="E77" s="242" t="s">
        <v>2</v>
      </c>
      <c r="F77" s="272" t="s">
        <v>176</v>
      </c>
      <c r="G77" s="272" t="s">
        <v>176</v>
      </c>
      <c r="H77" s="272" t="s">
        <v>176</v>
      </c>
      <c r="I77" s="272" t="s">
        <v>176</v>
      </c>
      <c r="J77" s="272" t="s">
        <v>176</v>
      </c>
      <c r="K77" s="272" t="str" cm="1">
        <f t="array" ref="K77">IFERROR(INDEX(F77:J77,6-O75),"")</f>
        <v/>
      </c>
      <c r="L77" s="761"/>
      <c r="M77" s="242"/>
      <c r="N77" s="761"/>
      <c r="O77" s="761"/>
      <c r="P77" s="749"/>
      <c r="Q77" s="752"/>
      <c r="R77" s="226"/>
    </row>
    <row r="78" spans="1:18" hidden="1">
      <c r="A78" s="771" t="s">
        <v>176</v>
      </c>
      <c r="B78" s="772" t="s">
        <v>176</v>
      </c>
      <c r="C78" s="773" t="e">
        <v>#REF!</v>
      </c>
      <c r="D78" s="774">
        <v>0</v>
      </c>
      <c r="E78" s="242" t="s">
        <v>6</v>
      </c>
      <c r="F78" s="272" t="s">
        <v>176</v>
      </c>
      <c r="G78" s="272" t="s">
        <v>176</v>
      </c>
      <c r="H78" s="272" t="s">
        <v>176</v>
      </c>
      <c r="I78" s="272" t="s">
        <v>176</v>
      </c>
      <c r="J78" s="272" t="s">
        <v>176</v>
      </c>
      <c r="K78" s="273" t="str" cm="1">
        <f t="array" ref="K78">IFERROR(INDEX(F78:J78,6-L78),"")</f>
        <v/>
      </c>
      <c r="L78" s="761" t="s">
        <v>176</v>
      </c>
      <c r="M78" s="242"/>
      <c r="N78" s="761" t="s">
        <v>176</v>
      </c>
      <c r="O78" s="761" t="s">
        <v>176</v>
      </c>
      <c r="P78" s="749">
        <f t="shared" ref="P78" si="10">IFERROR(ROUNDDOWN(AVERAGE($L78:$O78),3),0)</f>
        <v>0</v>
      </c>
      <c r="Q78" s="752">
        <f t="shared" ref="Q78" si="11">ROUNDDOWN($P78*$D78,3)</f>
        <v>0</v>
      </c>
      <c r="R78" s="226"/>
    </row>
    <row r="79" spans="1:18" hidden="1">
      <c r="A79" s="771"/>
      <c r="B79" s="772"/>
      <c r="C79" s="773"/>
      <c r="D79" s="774"/>
      <c r="E79" s="242" t="s">
        <v>7</v>
      </c>
      <c r="F79" s="272" t="s">
        <v>176</v>
      </c>
      <c r="G79" s="272" t="s">
        <v>176</v>
      </c>
      <c r="H79" s="272" t="s">
        <v>176</v>
      </c>
      <c r="I79" s="272" t="s">
        <v>176</v>
      </c>
      <c r="J79" s="272" t="s">
        <v>176</v>
      </c>
      <c r="K79" s="273" t="str" cm="1">
        <f t="array" ref="K79">IFERROR(INDEX(F79:J79,6-N78),"")</f>
        <v/>
      </c>
      <c r="L79" s="761"/>
      <c r="M79" s="242"/>
      <c r="N79" s="761"/>
      <c r="O79" s="761"/>
      <c r="P79" s="749"/>
      <c r="Q79" s="752"/>
      <c r="R79" s="226"/>
    </row>
    <row r="80" spans="1:18" ht="15" hidden="1" thickBot="1">
      <c r="A80" s="800"/>
      <c r="B80" s="801"/>
      <c r="C80" s="802"/>
      <c r="D80" s="803"/>
      <c r="E80" s="244" t="s">
        <v>2</v>
      </c>
      <c r="F80" s="274" t="s">
        <v>176</v>
      </c>
      <c r="G80" s="274" t="s">
        <v>176</v>
      </c>
      <c r="H80" s="274" t="s">
        <v>176</v>
      </c>
      <c r="I80" s="274" t="s">
        <v>176</v>
      </c>
      <c r="J80" s="274" t="s">
        <v>176</v>
      </c>
      <c r="K80" s="274" t="str" cm="1">
        <f t="array" ref="K80">IFERROR(INDEX(F80:J80,6-O78),"")</f>
        <v/>
      </c>
      <c r="L80" s="762"/>
      <c r="M80" s="244"/>
      <c r="N80" s="762"/>
      <c r="O80" s="762"/>
      <c r="P80" s="750"/>
      <c r="Q80" s="753"/>
      <c r="R80" s="226"/>
    </row>
    <row r="81" spans="1:18" ht="37.049999999999997" customHeight="1" thickBot="1">
      <c r="A81" s="275"/>
      <c r="B81" s="275"/>
      <c r="C81" s="275"/>
      <c r="D81" s="275"/>
      <c r="E81" s="275"/>
      <c r="F81" s="275"/>
      <c r="G81" s="275"/>
      <c r="H81" s="275"/>
      <c r="I81" s="795" t="s">
        <v>1196</v>
      </c>
      <c r="J81" s="795"/>
      <c r="K81" s="796"/>
      <c r="L81" s="797" t="str">
        <f ca="1">'Encoding Part 1'!N29</f>
        <v>Very Satisfactory</v>
      </c>
      <c r="M81" s="816"/>
      <c r="N81" s="798"/>
      <c r="O81" s="798"/>
      <c r="P81" s="799"/>
      <c r="Q81" s="276">
        <f ca="1">ROUND(SUM(Q12:Q80),4)</f>
        <v>4.3541999999999996</v>
      </c>
      <c r="R81" s="226"/>
    </row>
    <row r="82" spans="1:18" ht="15.75" customHeight="1" thickBot="1">
      <c r="A82" s="790" t="s">
        <v>1037</v>
      </c>
      <c r="B82" s="791"/>
      <c r="C82" s="791"/>
      <c r="D82" s="791"/>
      <c r="E82" s="792"/>
      <c r="F82" s="277"/>
      <c r="G82" s="277"/>
      <c r="H82" s="277"/>
      <c r="I82" s="277"/>
      <c r="J82" s="277"/>
      <c r="K82" s="277"/>
      <c r="L82" s="277"/>
      <c r="M82" s="277"/>
      <c r="N82" s="277"/>
      <c r="O82" s="277"/>
      <c r="P82" s="277"/>
      <c r="Q82" s="277"/>
    </row>
    <row r="83" spans="1:18" ht="15.75" customHeight="1">
      <c r="A83" s="278" t="s">
        <v>1038</v>
      </c>
      <c r="B83" s="779" t="s">
        <v>1039</v>
      </c>
      <c r="C83" s="779"/>
      <c r="D83" s="779"/>
      <c r="E83" s="779"/>
      <c r="F83" s="277"/>
      <c r="G83" s="277"/>
      <c r="H83" s="277"/>
      <c r="I83" s="277"/>
      <c r="J83" s="277"/>
      <c r="K83" s="277"/>
      <c r="L83" s="277"/>
      <c r="M83" s="277"/>
      <c r="N83" s="277"/>
      <c r="O83" s="277"/>
      <c r="P83" s="277"/>
      <c r="Q83" s="277"/>
    </row>
    <row r="84" spans="1:18" ht="15.75" customHeight="1">
      <c r="A84" s="279" t="s">
        <v>1040</v>
      </c>
      <c r="B84" s="778" t="s">
        <v>87</v>
      </c>
      <c r="C84" s="778"/>
      <c r="D84" s="778"/>
      <c r="E84" s="778"/>
      <c r="F84" s="277"/>
      <c r="G84" s="277"/>
      <c r="H84" s="277"/>
      <c r="I84" s="277"/>
      <c r="J84" s="277"/>
      <c r="K84" s="277"/>
      <c r="L84" s="277"/>
      <c r="M84" s="277"/>
      <c r="N84" s="277"/>
      <c r="O84" s="277"/>
      <c r="P84" s="277"/>
      <c r="Q84" s="277"/>
    </row>
    <row r="85" spans="1:18" ht="15.75" customHeight="1">
      <c r="A85" s="279" t="s">
        <v>1041</v>
      </c>
      <c r="B85" s="778" t="s">
        <v>85</v>
      </c>
      <c r="C85" s="778"/>
      <c r="D85" s="778"/>
      <c r="E85" s="778"/>
      <c r="F85" s="277"/>
      <c r="G85" s="277"/>
      <c r="H85" s="277"/>
      <c r="I85" s="277"/>
      <c r="J85" s="277"/>
      <c r="K85" s="277"/>
      <c r="L85" s="277"/>
      <c r="M85" s="277"/>
      <c r="N85" s="277"/>
      <c r="O85" s="277"/>
      <c r="P85" s="277"/>
      <c r="Q85" s="277"/>
    </row>
    <row r="86" spans="1:18" ht="15.75" customHeight="1">
      <c r="A86" s="279" t="s">
        <v>1042</v>
      </c>
      <c r="B86" s="778" t="s">
        <v>83</v>
      </c>
      <c r="C86" s="778"/>
      <c r="D86" s="778"/>
      <c r="E86" s="778"/>
      <c r="F86" s="277"/>
      <c r="G86" s="277"/>
      <c r="H86" s="277"/>
      <c r="I86" s="277"/>
      <c r="J86" s="277"/>
      <c r="K86" s="277"/>
      <c r="L86" s="277"/>
      <c r="M86" s="277"/>
      <c r="N86" s="277"/>
      <c r="O86" s="277"/>
      <c r="P86" s="277"/>
      <c r="Q86" s="277"/>
    </row>
    <row r="87" spans="1:18" ht="15.75" customHeight="1">
      <c r="A87" s="279" t="s">
        <v>1043</v>
      </c>
      <c r="B87" s="778" t="s">
        <v>81</v>
      </c>
      <c r="C87" s="778"/>
      <c r="D87" s="778"/>
      <c r="E87" s="778"/>
      <c r="F87" s="277"/>
      <c r="G87" s="277"/>
      <c r="H87" s="277"/>
      <c r="I87" s="277"/>
      <c r="J87" s="277"/>
      <c r="K87" s="277"/>
      <c r="L87" s="277"/>
      <c r="M87" s="277"/>
      <c r="N87" s="277"/>
      <c r="O87" s="277"/>
      <c r="P87" s="277"/>
      <c r="Q87" s="277"/>
    </row>
    <row r="88" spans="1:18" ht="15.75" customHeight="1">
      <c r="A88" s="279" t="s">
        <v>1044</v>
      </c>
      <c r="B88" s="778" t="s">
        <v>79</v>
      </c>
      <c r="C88" s="778"/>
      <c r="D88" s="778"/>
      <c r="E88" s="778"/>
      <c r="F88" s="277"/>
      <c r="G88" s="277"/>
      <c r="H88" s="277"/>
      <c r="I88" s="277"/>
      <c r="J88" s="277"/>
      <c r="K88" s="277"/>
      <c r="L88" s="277"/>
      <c r="M88" s="277"/>
      <c r="N88" s="277"/>
      <c r="O88" s="277"/>
      <c r="P88" s="277"/>
      <c r="Q88" s="277"/>
    </row>
    <row r="93" spans="1:18">
      <c r="A93" s="793" t="str">
        <f>C2</f>
        <v>EJONIE G. DEGOLLACION</v>
      </c>
      <c r="B93" s="793"/>
      <c r="C93" s="793"/>
      <c r="D93" s="793"/>
      <c r="F93" s="794" t="str">
        <f>J2</f>
        <v>GLORIFEL B. SAREÑO</v>
      </c>
      <c r="G93" s="794"/>
      <c r="H93" s="794"/>
      <c r="J93" s="793" t="str">
        <f>'Encoding Part 1'!L33&amp;" "&amp;'Encoding Part 1'!Q33&amp;" "&amp;'Encoding Part 1'!G33</f>
        <v>NICKJON C. BABATU-ON</v>
      </c>
      <c r="K93" s="793"/>
      <c r="L93" s="793"/>
      <c r="M93" s="793"/>
      <c r="N93" s="793"/>
      <c r="O93" s="793"/>
    </row>
    <row r="94" spans="1:18" ht="15" customHeight="1">
      <c r="A94" s="776" t="s">
        <v>1007</v>
      </c>
      <c r="B94" s="776"/>
      <c r="C94" s="776"/>
      <c r="D94" s="776"/>
      <c r="E94" s="280"/>
      <c r="F94" s="777" t="s">
        <v>1045</v>
      </c>
      <c r="G94" s="777"/>
      <c r="H94" s="777"/>
      <c r="I94" s="280"/>
      <c r="J94" s="776" t="s">
        <v>1046</v>
      </c>
      <c r="K94" s="776"/>
      <c r="L94" s="776"/>
      <c r="M94" s="776"/>
      <c r="N94" s="776"/>
      <c r="O94" s="776"/>
    </row>
  </sheetData>
  <sheetProtection algorithmName="SHA-512" hashValue="sjWbQlAcrLzhxIWTDFo557M2t2j1bjlD6etbz7JiDKc23CklSSb9LsDEv8ctPv0uH+j0qv2YZ6AIoVx1JAUpSA==" saltValue="OzO2rCEsbzlsanevCruHKA==" spinCount="100000" sheet="1" objects="1" scenarios="1" formatRows="0"/>
  <mergeCells count="230">
    <mergeCell ref="A4:B4"/>
    <mergeCell ref="C4:H4"/>
    <mergeCell ref="A5:B5"/>
    <mergeCell ref="C5:H5"/>
    <mergeCell ref="I5:Q5"/>
    <mergeCell ref="A1:Q1"/>
    <mergeCell ref="A2:B2"/>
    <mergeCell ref="C2:H2"/>
    <mergeCell ref="A3:B3"/>
    <mergeCell ref="C3:H3"/>
    <mergeCell ref="J2:Q2"/>
    <mergeCell ref="J3:Q3"/>
    <mergeCell ref="J4:Q4"/>
    <mergeCell ref="E10:E11"/>
    <mergeCell ref="A12:A21"/>
    <mergeCell ref="B12:B14"/>
    <mergeCell ref="C12:C14"/>
    <mergeCell ref="D12:D14"/>
    <mergeCell ref="L12:L14"/>
    <mergeCell ref="A8:J8"/>
    <mergeCell ref="K8:Q8"/>
    <mergeCell ref="A9:A11"/>
    <mergeCell ref="B9:B11"/>
    <mergeCell ref="C9:C11"/>
    <mergeCell ref="D9:D11"/>
    <mergeCell ref="E9:J9"/>
    <mergeCell ref="K9:K11"/>
    <mergeCell ref="L9:P10"/>
    <mergeCell ref="Q9:Q11"/>
    <mergeCell ref="M12:M14"/>
    <mergeCell ref="M15:M17"/>
    <mergeCell ref="M18:M21"/>
    <mergeCell ref="N12:N14"/>
    <mergeCell ref="O12:O14"/>
    <mergeCell ref="P12:P14"/>
    <mergeCell ref="Q12:Q14"/>
    <mergeCell ref="B15:B17"/>
    <mergeCell ref="C15:C17"/>
    <mergeCell ref="D15:D17"/>
    <mergeCell ref="L15:L17"/>
    <mergeCell ref="N15:N17"/>
    <mergeCell ref="O15:O17"/>
    <mergeCell ref="P15:P17"/>
    <mergeCell ref="Q15:Q17"/>
    <mergeCell ref="B18:B21"/>
    <mergeCell ref="C18:C21"/>
    <mergeCell ref="D18:D21"/>
    <mergeCell ref="L18:L21"/>
    <mergeCell ref="N18:N21"/>
    <mergeCell ref="O18:O21"/>
    <mergeCell ref="P18:P21"/>
    <mergeCell ref="Q18:Q21"/>
    <mergeCell ref="N30:N33"/>
    <mergeCell ref="O30:O33"/>
    <mergeCell ref="P30:P33"/>
    <mergeCell ref="Q30:Q33"/>
    <mergeCell ref="O22:O25"/>
    <mergeCell ref="P22:P25"/>
    <mergeCell ref="Q22:Q25"/>
    <mergeCell ref="B26:B29"/>
    <mergeCell ref="C26:C29"/>
    <mergeCell ref="D26:D29"/>
    <mergeCell ref="L26:L29"/>
    <mergeCell ref="N26:N29"/>
    <mergeCell ref="O26:O29"/>
    <mergeCell ref="P26:P29"/>
    <mergeCell ref="B22:B25"/>
    <mergeCell ref="C22:C25"/>
    <mergeCell ref="D22:D25"/>
    <mergeCell ref="L22:L25"/>
    <mergeCell ref="N22:N25"/>
    <mergeCell ref="M22:M25"/>
    <mergeCell ref="M26:M29"/>
    <mergeCell ref="Q26:Q29"/>
    <mergeCell ref="A22:A29"/>
    <mergeCell ref="M30:M33"/>
    <mergeCell ref="O34:O37"/>
    <mergeCell ref="P34:P37"/>
    <mergeCell ref="Q34:Q37"/>
    <mergeCell ref="B38:B40"/>
    <mergeCell ref="C38:C40"/>
    <mergeCell ref="D38:D40"/>
    <mergeCell ref="L38:L40"/>
    <mergeCell ref="N38:N40"/>
    <mergeCell ref="O38:O40"/>
    <mergeCell ref="P38:P40"/>
    <mergeCell ref="B34:B37"/>
    <mergeCell ref="C34:C37"/>
    <mergeCell ref="D34:D37"/>
    <mergeCell ref="L34:L37"/>
    <mergeCell ref="N34:N37"/>
    <mergeCell ref="M34:M37"/>
    <mergeCell ref="M38:M40"/>
    <mergeCell ref="A30:A33"/>
    <mergeCell ref="B30:B33"/>
    <mergeCell ref="C30:C33"/>
    <mergeCell ref="D30:D33"/>
    <mergeCell ref="L30:L33"/>
    <mergeCell ref="A45:A54"/>
    <mergeCell ref="B45:B48"/>
    <mergeCell ref="C45:C48"/>
    <mergeCell ref="D45:D48"/>
    <mergeCell ref="L45:L48"/>
    <mergeCell ref="N45:N48"/>
    <mergeCell ref="Q38:Q40"/>
    <mergeCell ref="B41:B44"/>
    <mergeCell ref="C41:C44"/>
    <mergeCell ref="D41:D44"/>
    <mergeCell ref="L41:L44"/>
    <mergeCell ref="N41:N44"/>
    <mergeCell ref="O41:O44"/>
    <mergeCell ref="P41:P44"/>
    <mergeCell ref="Q41:Q44"/>
    <mergeCell ref="A34:A44"/>
    <mergeCell ref="M41:M44"/>
    <mergeCell ref="M45:M48"/>
    <mergeCell ref="M49:M51"/>
    <mergeCell ref="M52:M54"/>
    <mergeCell ref="O45:O48"/>
    <mergeCell ref="P45:P48"/>
    <mergeCell ref="Q45:Q48"/>
    <mergeCell ref="B49:B51"/>
    <mergeCell ref="C49:C51"/>
    <mergeCell ref="D49:D51"/>
    <mergeCell ref="L49:L51"/>
    <mergeCell ref="N49:N51"/>
    <mergeCell ref="O49:O51"/>
    <mergeCell ref="P49:P51"/>
    <mergeCell ref="Q49:Q51"/>
    <mergeCell ref="B52:B54"/>
    <mergeCell ref="C52:C54"/>
    <mergeCell ref="D52:D54"/>
    <mergeCell ref="L52:L54"/>
    <mergeCell ref="N52:N54"/>
    <mergeCell ref="O52:O54"/>
    <mergeCell ref="P52:P54"/>
    <mergeCell ref="Q52:Q54"/>
    <mergeCell ref="B58:B60"/>
    <mergeCell ref="C58:C60"/>
    <mergeCell ref="D58:D60"/>
    <mergeCell ref="L58:L60"/>
    <mergeCell ref="N58:N60"/>
    <mergeCell ref="O58:O60"/>
    <mergeCell ref="P58:P60"/>
    <mergeCell ref="A55:A60"/>
    <mergeCell ref="B55:B57"/>
    <mergeCell ref="C55:C57"/>
    <mergeCell ref="D55:D57"/>
    <mergeCell ref="L55:L57"/>
    <mergeCell ref="N55:N57"/>
    <mergeCell ref="M55:M57"/>
    <mergeCell ref="M58:M60"/>
    <mergeCell ref="Q58:Q60"/>
    <mergeCell ref="L61:L62"/>
    <mergeCell ref="N61:N62"/>
    <mergeCell ref="O61:O62"/>
    <mergeCell ref="P61:P62"/>
    <mergeCell ref="Q61:Q62"/>
    <mergeCell ref="O55:O57"/>
    <mergeCell ref="P55:P57"/>
    <mergeCell ref="Q55:Q57"/>
    <mergeCell ref="O63:O65"/>
    <mergeCell ref="P63:P65"/>
    <mergeCell ref="Q63:Q65"/>
    <mergeCell ref="A66:A68"/>
    <mergeCell ref="B66:B68"/>
    <mergeCell ref="C66:C68"/>
    <mergeCell ref="D66:D68"/>
    <mergeCell ref="L66:L68"/>
    <mergeCell ref="N66:N68"/>
    <mergeCell ref="O66:O68"/>
    <mergeCell ref="A63:A65"/>
    <mergeCell ref="B63:B65"/>
    <mergeCell ref="C63:C65"/>
    <mergeCell ref="D63:D65"/>
    <mergeCell ref="L63:L65"/>
    <mergeCell ref="N63:N65"/>
    <mergeCell ref="P66:P68"/>
    <mergeCell ref="Q66:Q68"/>
    <mergeCell ref="A69:A71"/>
    <mergeCell ref="B69:B71"/>
    <mergeCell ref="C69:C71"/>
    <mergeCell ref="D69:D71"/>
    <mergeCell ref="L69:L71"/>
    <mergeCell ref="N69:N71"/>
    <mergeCell ref="O69:O71"/>
    <mergeCell ref="P69:P71"/>
    <mergeCell ref="Q69:Q71"/>
    <mergeCell ref="A72:A74"/>
    <mergeCell ref="B72:B74"/>
    <mergeCell ref="C72:C74"/>
    <mergeCell ref="D72:D74"/>
    <mergeCell ref="L72:L74"/>
    <mergeCell ref="N72:N74"/>
    <mergeCell ref="O72:O74"/>
    <mergeCell ref="P72:P74"/>
    <mergeCell ref="Q72:Q74"/>
    <mergeCell ref="P78:P80"/>
    <mergeCell ref="Q78:Q80"/>
    <mergeCell ref="I81:K81"/>
    <mergeCell ref="L81:P81"/>
    <mergeCell ref="B83:E83"/>
    <mergeCell ref="B84:E84"/>
    <mergeCell ref="O75:O77"/>
    <mergeCell ref="P75:P77"/>
    <mergeCell ref="Q75:Q77"/>
    <mergeCell ref="A82:E82"/>
    <mergeCell ref="A78:A80"/>
    <mergeCell ref="B78:B80"/>
    <mergeCell ref="C78:C80"/>
    <mergeCell ref="D78:D80"/>
    <mergeCell ref="L78:L80"/>
    <mergeCell ref="N78:N80"/>
    <mergeCell ref="O78:O80"/>
    <mergeCell ref="A75:A77"/>
    <mergeCell ref="B75:B77"/>
    <mergeCell ref="C75:C77"/>
    <mergeCell ref="D75:D77"/>
    <mergeCell ref="L75:L77"/>
    <mergeCell ref="N75:N77"/>
    <mergeCell ref="J93:O93"/>
    <mergeCell ref="A94:D94"/>
    <mergeCell ref="F94:H94"/>
    <mergeCell ref="J94:O94"/>
    <mergeCell ref="B85:E85"/>
    <mergeCell ref="B86:E86"/>
    <mergeCell ref="B87:E87"/>
    <mergeCell ref="B88:E88"/>
    <mergeCell ref="A93:D93"/>
    <mergeCell ref="F93:H93"/>
  </mergeCells>
  <conditionalFormatting sqref="A9:Q11">
    <cfRule type="expression" dxfId="36" priority="4">
      <formula>career_stage="HP"</formula>
    </cfRule>
    <cfRule type="expression" dxfId="35" priority="5">
      <formula>career_stage="P"</formula>
    </cfRule>
  </conditionalFormatting>
  <conditionalFormatting sqref="A12:A80">
    <cfRule type="expression" dxfId="34" priority="3">
      <formula>AND(NOT(#REF!),#REF!&gt;1)</formula>
    </cfRule>
  </conditionalFormatting>
  <conditionalFormatting sqref="L12:O80">
    <cfRule type="expression" dxfId="33" priority="2">
      <formula>NOT(#REF!)</formula>
    </cfRule>
  </conditionalFormatting>
  <conditionalFormatting sqref="F12:K80">
    <cfRule type="cellIs" dxfId="32" priority="1" operator="equal">
      <formula>0</formula>
    </cfRule>
  </conditionalFormatting>
  <printOptions horizontalCentered="1"/>
  <pageMargins left="0.5" right="0.5" top="0.7" bottom="0.55000000000000004" header="0" footer="0.23"/>
  <pageSetup paperSize="9" scale="81" fitToHeight="0" orientation="landscape" r:id="rId1"/>
  <headerFooter>
    <oddHeader>&amp;C&amp;"Calibri,Regular"&amp;K000000&amp;G</oddHeader>
    <oddFooter>Page &amp;P of &amp;N</oddFoot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D03DD-18B5-467B-A543-8BD2EC694770}">
  <sheetPr codeName="Sheet8">
    <tabColor theme="2"/>
    <pageSetUpPr fitToPage="1"/>
  </sheetPr>
  <dimension ref="A1:Z1006"/>
  <sheetViews>
    <sheetView showGridLines="0" topLeftCell="A49" zoomScale="80" zoomScaleNormal="80" zoomScaleSheetLayoutView="80" workbookViewId="0">
      <selection activeCell="S57" sqref="S57"/>
    </sheetView>
  </sheetViews>
  <sheetFormatPr defaultColWidth="15.88671875" defaultRowHeight="15" customHeight="1"/>
  <cols>
    <col min="1" max="1" width="5.33203125" style="301" customWidth="1"/>
    <col min="2" max="2" width="5.44140625" style="301" customWidth="1"/>
    <col min="3" max="17" width="8.21875" style="301" customWidth="1"/>
    <col min="18" max="18" width="9" style="301" customWidth="1"/>
    <col min="19" max="19" width="9.44140625" style="301" customWidth="1"/>
    <col min="20" max="20" width="13.44140625" style="301" customWidth="1"/>
    <col min="21" max="21" width="26.44140625" style="301" customWidth="1"/>
    <col min="22" max="22" width="8.5546875" style="301" customWidth="1"/>
    <col min="23" max="24" width="9.6640625" style="301" customWidth="1"/>
    <col min="25" max="25" width="5.44140625" style="301" hidden="1" customWidth="1"/>
    <col min="26" max="26" width="20" style="301" hidden="1" customWidth="1"/>
    <col min="27" max="16384" width="15.88671875" style="301"/>
  </cols>
  <sheetData>
    <row r="1" spans="1:26" ht="58.95" customHeight="1">
      <c r="A1" s="883" t="str">
        <f>HOME!A1</f>
        <v>OFFICIAL ELECTRONIC IPCRF TOOL
 SY 2025-2026</v>
      </c>
      <c r="B1" s="884"/>
      <c r="C1" s="884"/>
      <c r="D1" s="884"/>
      <c r="E1" s="884"/>
      <c r="F1" s="884"/>
      <c r="G1" s="884"/>
      <c r="H1" s="884"/>
      <c r="I1" s="884"/>
      <c r="J1" s="884"/>
      <c r="K1" s="884"/>
      <c r="L1" s="884"/>
      <c r="M1" s="884"/>
      <c r="N1" s="884"/>
      <c r="O1" s="884"/>
      <c r="P1" s="884"/>
      <c r="Q1" s="884"/>
      <c r="R1" s="884"/>
      <c r="S1" s="884"/>
      <c r="T1" s="884"/>
      <c r="U1" s="884"/>
      <c r="V1" s="300"/>
      <c r="W1" s="300"/>
      <c r="Y1" s="300"/>
    </row>
    <row r="2" spans="1:26" ht="22.8">
      <c r="A2" s="885" t="str">
        <f>HOME!E17&amp;" Teacher"</f>
        <v>Beginning towards Proficient Teacher</v>
      </c>
      <c r="B2" s="885"/>
      <c r="C2" s="885"/>
      <c r="D2" s="885"/>
      <c r="E2" s="885"/>
      <c r="F2" s="885"/>
      <c r="G2" s="885"/>
      <c r="H2" s="885"/>
      <c r="I2" s="885"/>
      <c r="J2" s="885"/>
      <c r="K2" s="885"/>
      <c r="L2" s="885"/>
      <c r="M2" s="885"/>
      <c r="N2" s="885"/>
      <c r="O2" s="885"/>
      <c r="P2" s="885"/>
      <c r="Q2" s="885"/>
      <c r="R2" s="885"/>
      <c r="S2" s="885"/>
      <c r="T2" s="885"/>
      <c r="U2" s="885"/>
      <c r="V2" s="300"/>
      <c r="W2" s="300"/>
      <c r="Y2" s="300"/>
    </row>
    <row r="3" spans="1:26" ht="16.8">
      <c r="A3" s="300"/>
      <c r="B3" s="300"/>
      <c r="C3" s="300"/>
      <c r="D3" s="300"/>
      <c r="E3" s="300"/>
      <c r="F3" s="300"/>
      <c r="G3" s="300"/>
      <c r="H3" s="300"/>
      <c r="I3" s="300"/>
      <c r="J3" s="300"/>
      <c r="K3" s="300"/>
      <c r="L3" s="300"/>
      <c r="M3" s="300"/>
      <c r="N3" s="300"/>
      <c r="O3" s="300"/>
      <c r="P3" s="300"/>
      <c r="Q3" s="300"/>
      <c r="R3" s="300"/>
      <c r="S3" s="300"/>
      <c r="T3" s="300"/>
      <c r="U3" s="300"/>
      <c r="V3" s="300"/>
      <c r="W3" s="300"/>
      <c r="Y3" s="300"/>
    </row>
    <row r="4" spans="1:26" ht="22.8">
      <c r="A4" s="302" t="s">
        <v>1596</v>
      </c>
      <c r="C4" s="300"/>
      <c r="D4" s="300"/>
      <c r="E4" s="300"/>
      <c r="F4" s="300"/>
      <c r="G4" s="300"/>
      <c r="H4" s="300"/>
      <c r="I4" s="300"/>
      <c r="J4" s="889" t="str">
        <f>IF(OR(HOME!E17="Beginning towards Proficient",HOME!E17="Proficient"),"(5%)","(2.5%)")</f>
        <v>(5%)</v>
      </c>
      <c r="K4" s="889"/>
      <c r="L4" s="889"/>
      <c r="M4" s="300"/>
      <c r="N4" s="300"/>
      <c r="O4" s="300"/>
      <c r="P4" s="300"/>
      <c r="Q4" s="300"/>
      <c r="R4" s="300"/>
      <c r="S4" s="300"/>
      <c r="T4" s="300"/>
      <c r="U4" s="300"/>
      <c r="V4" s="300"/>
      <c r="W4" s="300"/>
      <c r="X4" s="300"/>
      <c r="Y4" s="300"/>
    </row>
    <row r="5" spans="1:26" ht="22.8">
      <c r="A5" s="302"/>
      <c r="C5" s="303" t="s">
        <v>1254</v>
      </c>
      <c r="D5" s="300"/>
      <c r="E5" s="300"/>
      <c r="F5" s="300"/>
      <c r="G5" s="300"/>
      <c r="H5" s="300"/>
      <c r="I5" s="300"/>
      <c r="J5" s="300"/>
      <c r="K5" s="300"/>
      <c r="L5" s="300"/>
      <c r="M5" s="300"/>
      <c r="N5" s="300"/>
      <c r="O5" s="300"/>
      <c r="P5" s="300"/>
      <c r="Q5" s="300"/>
      <c r="R5" s="300"/>
      <c r="S5" s="300"/>
      <c r="T5" s="300"/>
      <c r="U5" s="300"/>
      <c r="V5" s="300"/>
      <c r="W5" s="300"/>
      <c r="X5" s="300"/>
      <c r="Y5" s="300"/>
    </row>
    <row r="6" spans="1:26" ht="41.55" customHeight="1">
      <c r="A6" s="300"/>
      <c r="B6" s="300"/>
      <c r="C6" s="300"/>
      <c r="D6" s="300"/>
      <c r="E6" s="300"/>
      <c r="F6" s="300"/>
      <c r="G6" s="300"/>
      <c r="H6" s="300"/>
      <c r="I6" s="300"/>
      <c r="J6" s="300"/>
      <c r="K6" s="300"/>
      <c r="L6" s="300"/>
      <c r="M6" s="300"/>
      <c r="N6" s="300"/>
      <c r="O6" s="300"/>
      <c r="P6" s="300"/>
      <c r="Q6" s="300"/>
      <c r="R6" s="300"/>
      <c r="S6" s="300"/>
      <c r="T6" s="300"/>
      <c r="U6" s="300"/>
      <c r="V6" s="300"/>
      <c r="W6" s="300"/>
      <c r="X6" s="300"/>
      <c r="Y6" s="300"/>
    </row>
    <row r="7" spans="1:26" ht="41.55" customHeight="1">
      <c r="A7" s="300"/>
      <c r="B7" s="300"/>
      <c r="C7" s="300"/>
      <c r="D7" s="300"/>
      <c r="E7" s="300"/>
      <c r="F7" s="300"/>
      <c r="G7" s="300"/>
      <c r="H7" s="300"/>
      <c r="I7" s="300"/>
      <c r="J7" s="300"/>
      <c r="K7" s="300"/>
      <c r="L7" s="300"/>
      <c r="M7" s="300"/>
      <c r="N7" s="300"/>
      <c r="O7" s="300"/>
      <c r="P7" s="300"/>
      <c r="Q7" s="300"/>
      <c r="R7" s="300"/>
      <c r="S7" s="300"/>
      <c r="T7" s="300"/>
      <c r="U7" s="300"/>
      <c r="V7" s="300"/>
      <c r="W7" s="300"/>
      <c r="X7" s="300"/>
      <c r="Y7" s="300"/>
    </row>
    <row r="8" spans="1:26" ht="119.55" customHeight="1">
      <c r="A8" s="300"/>
      <c r="B8" s="886" t="s">
        <v>55</v>
      </c>
      <c r="C8" s="886"/>
      <c r="D8" s="886"/>
      <c r="E8" s="886"/>
      <c r="F8" s="886"/>
      <c r="G8" s="886"/>
      <c r="H8" s="886"/>
      <c r="I8" s="886"/>
      <c r="J8" s="886"/>
      <c r="K8" s="886"/>
      <c r="L8" s="886"/>
      <c r="M8" s="886"/>
      <c r="N8" s="886"/>
      <c r="O8" s="886"/>
      <c r="P8" s="886"/>
      <c r="Q8" s="887" t="s">
        <v>56</v>
      </c>
      <c r="R8" s="887"/>
      <c r="S8" s="887"/>
      <c r="T8" s="887"/>
      <c r="U8" s="887"/>
      <c r="V8" s="300"/>
      <c r="W8" s="300"/>
      <c r="X8" s="300"/>
      <c r="Y8" s="300"/>
    </row>
    <row r="9" spans="1:26" ht="7.95" customHeight="1">
      <c r="A9" s="300"/>
      <c r="B9" s="888"/>
      <c r="C9" s="888"/>
      <c r="D9" s="888"/>
      <c r="E9" s="888"/>
      <c r="F9" s="888"/>
      <c r="G9" s="888"/>
      <c r="H9" s="888"/>
      <c r="I9" s="888"/>
      <c r="J9" s="888"/>
      <c r="K9" s="888"/>
      <c r="L9" s="888"/>
      <c r="M9" s="888"/>
      <c r="N9" s="888"/>
      <c r="O9" s="888"/>
      <c r="P9" s="888"/>
      <c r="Q9" s="888"/>
      <c r="R9" s="888"/>
      <c r="S9" s="888"/>
      <c r="T9" s="888"/>
      <c r="U9" s="888"/>
      <c r="V9" s="300"/>
      <c r="W9" s="300"/>
      <c r="X9" s="300"/>
      <c r="Y9" s="300"/>
    </row>
    <row r="10" spans="1:26" ht="19.5" customHeight="1" thickBot="1">
      <c r="A10" s="300"/>
      <c r="B10" s="304" t="s">
        <v>77</v>
      </c>
      <c r="C10" s="300"/>
      <c r="D10" s="300"/>
      <c r="E10" s="300"/>
      <c r="F10" s="300"/>
      <c r="G10" s="300"/>
      <c r="H10" s="300"/>
      <c r="I10" s="300"/>
      <c r="J10" s="300"/>
      <c r="K10" s="300"/>
      <c r="L10" s="300"/>
      <c r="M10" s="300"/>
      <c r="N10" s="300"/>
      <c r="O10" s="300"/>
      <c r="P10" s="300"/>
      <c r="Q10" s="300"/>
      <c r="R10" s="300"/>
      <c r="S10" s="300"/>
      <c r="T10" s="300"/>
      <c r="U10" s="300"/>
      <c r="V10" s="300"/>
      <c r="W10" s="300"/>
      <c r="X10" s="300"/>
      <c r="Y10" s="300"/>
    </row>
    <row r="11" spans="1:26" ht="18.45" customHeight="1">
      <c r="A11" s="300"/>
      <c r="B11" s="305">
        <v>1</v>
      </c>
      <c r="C11" s="874" t="s">
        <v>78</v>
      </c>
      <c r="D11" s="874"/>
      <c r="E11" s="874"/>
      <c r="F11" s="874"/>
      <c r="G11" s="874"/>
      <c r="H11" s="874"/>
      <c r="I11" s="874"/>
      <c r="J11" s="874"/>
      <c r="K11" s="874"/>
      <c r="L11" s="874"/>
      <c r="M11" s="874"/>
      <c r="N11" s="874"/>
      <c r="O11" s="874"/>
      <c r="P11" s="874"/>
      <c r="Q11" s="874"/>
      <c r="R11" s="874"/>
      <c r="S11" s="503">
        <v>5</v>
      </c>
      <c r="T11" s="875">
        <f>IF(COUNTBLANK(S11:S15)&gt;0,"",AVERAGE(S11:S15))</f>
        <v>4.8</v>
      </c>
      <c r="U11" s="878" t="str">
        <f>IFERROR(VLOOKUP(T11,core,2,1),"")</f>
        <v>Outstanding</v>
      </c>
      <c r="V11" s="300"/>
      <c r="W11" s="300"/>
      <c r="X11" s="300"/>
      <c r="Y11" s="300">
        <v>1</v>
      </c>
      <c r="Z11" s="306" t="s">
        <v>79</v>
      </c>
    </row>
    <row r="12" spans="1:26" ht="28.95" customHeight="1">
      <c r="A12" s="300"/>
      <c r="B12" s="307">
        <v>2</v>
      </c>
      <c r="C12" s="881" t="s">
        <v>80</v>
      </c>
      <c r="D12" s="881"/>
      <c r="E12" s="881"/>
      <c r="F12" s="881"/>
      <c r="G12" s="881"/>
      <c r="H12" s="881"/>
      <c r="I12" s="881"/>
      <c r="J12" s="881"/>
      <c r="K12" s="881"/>
      <c r="L12" s="881"/>
      <c r="M12" s="881"/>
      <c r="N12" s="881"/>
      <c r="O12" s="881"/>
      <c r="P12" s="881"/>
      <c r="Q12" s="881"/>
      <c r="R12" s="881"/>
      <c r="S12" s="504">
        <v>4</v>
      </c>
      <c r="T12" s="876"/>
      <c r="U12" s="879"/>
      <c r="W12" s="300"/>
      <c r="X12" s="300"/>
      <c r="Y12" s="300">
        <v>1.5</v>
      </c>
      <c r="Z12" s="306" t="s">
        <v>81</v>
      </c>
    </row>
    <row r="13" spans="1:26" ht="18.45" customHeight="1">
      <c r="A13" s="300"/>
      <c r="B13" s="307">
        <v>3</v>
      </c>
      <c r="C13" s="881" t="s">
        <v>82</v>
      </c>
      <c r="D13" s="881"/>
      <c r="E13" s="881"/>
      <c r="F13" s="881"/>
      <c r="G13" s="881"/>
      <c r="H13" s="881"/>
      <c r="I13" s="881"/>
      <c r="J13" s="881"/>
      <c r="K13" s="881"/>
      <c r="L13" s="881"/>
      <c r="M13" s="881"/>
      <c r="N13" s="881"/>
      <c r="O13" s="881"/>
      <c r="P13" s="881"/>
      <c r="Q13" s="881"/>
      <c r="R13" s="881"/>
      <c r="S13" s="504">
        <v>5</v>
      </c>
      <c r="T13" s="876"/>
      <c r="U13" s="879"/>
      <c r="V13" s="300"/>
      <c r="W13" s="300"/>
      <c r="X13" s="300"/>
      <c r="Y13" s="300">
        <v>2.5</v>
      </c>
      <c r="Z13" s="306" t="s">
        <v>83</v>
      </c>
    </row>
    <row r="14" spans="1:26" ht="18.45" customHeight="1">
      <c r="A14" s="300"/>
      <c r="B14" s="307">
        <v>4</v>
      </c>
      <c r="C14" s="881" t="s">
        <v>84</v>
      </c>
      <c r="D14" s="881"/>
      <c r="E14" s="881"/>
      <c r="F14" s="881"/>
      <c r="G14" s="881"/>
      <c r="H14" s="881"/>
      <c r="I14" s="881"/>
      <c r="J14" s="881"/>
      <c r="K14" s="881"/>
      <c r="L14" s="881"/>
      <c r="M14" s="881"/>
      <c r="N14" s="881"/>
      <c r="O14" s="881"/>
      <c r="P14" s="881"/>
      <c r="Q14" s="881"/>
      <c r="R14" s="881"/>
      <c r="S14" s="504">
        <v>5</v>
      </c>
      <c r="T14" s="876"/>
      <c r="U14" s="879"/>
      <c r="V14" s="300"/>
      <c r="W14" s="300"/>
      <c r="X14" s="300"/>
      <c r="Y14" s="300">
        <v>3.5</v>
      </c>
      <c r="Z14" s="306" t="s">
        <v>85</v>
      </c>
    </row>
    <row r="15" spans="1:26" ht="18.45" customHeight="1" thickBot="1">
      <c r="A15" s="300"/>
      <c r="B15" s="308">
        <v>5</v>
      </c>
      <c r="C15" s="882" t="s">
        <v>86</v>
      </c>
      <c r="D15" s="882"/>
      <c r="E15" s="882"/>
      <c r="F15" s="882"/>
      <c r="G15" s="882"/>
      <c r="H15" s="882"/>
      <c r="I15" s="882"/>
      <c r="J15" s="882"/>
      <c r="K15" s="882"/>
      <c r="L15" s="882"/>
      <c r="M15" s="882"/>
      <c r="N15" s="882"/>
      <c r="O15" s="882"/>
      <c r="P15" s="882"/>
      <c r="Q15" s="882"/>
      <c r="R15" s="882"/>
      <c r="S15" s="505">
        <v>5</v>
      </c>
      <c r="T15" s="877"/>
      <c r="U15" s="880"/>
      <c r="V15" s="300"/>
      <c r="W15" s="300"/>
      <c r="X15" s="300"/>
      <c r="Y15" s="300">
        <v>4.5</v>
      </c>
      <c r="Z15" s="306" t="s">
        <v>87</v>
      </c>
    </row>
    <row r="16" spans="1:26" ht="7.95" customHeight="1">
      <c r="A16" s="300"/>
      <c r="B16" s="300"/>
      <c r="C16" s="300"/>
      <c r="D16" s="300"/>
      <c r="E16" s="300"/>
      <c r="F16" s="300"/>
      <c r="G16" s="300"/>
      <c r="H16" s="300"/>
      <c r="I16" s="300"/>
      <c r="J16" s="300"/>
      <c r="K16" s="300"/>
      <c r="L16" s="300"/>
      <c r="M16" s="300"/>
      <c r="N16" s="300"/>
      <c r="O16" s="300"/>
      <c r="P16" s="300"/>
      <c r="Q16" s="300"/>
      <c r="R16" s="300"/>
      <c r="S16" s="300"/>
      <c r="T16" s="300"/>
      <c r="U16" s="300"/>
      <c r="V16" s="300"/>
      <c r="W16" s="300"/>
      <c r="X16" s="300"/>
      <c r="Y16" s="300"/>
    </row>
    <row r="17" spans="1:25" ht="18.45" customHeight="1" thickBot="1">
      <c r="A17" s="300"/>
      <c r="B17" s="304" t="s">
        <v>88</v>
      </c>
      <c r="C17" s="300"/>
      <c r="D17" s="300"/>
      <c r="E17" s="300"/>
      <c r="F17" s="300"/>
      <c r="G17" s="300"/>
      <c r="H17" s="300"/>
      <c r="I17" s="300"/>
      <c r="J17" s="300"/>
      <c r="K17" s="300"/>
      <c r="L17" s="300"/>
      <c r="M17" s="300"/>
      <c r="N17" s="300"/>
      <c r="O17" s="300"/>
      <c r="P17" s="300"/>
      <c r="Q17" s="300"/>
      <c r="R17" s="300"/>
      <c r="S17" s="300"/>
      <c r="T17" s="300"/>
      <c r="U17" s="300"/>
      <c r="V17" s="300"/>
      <c r="W17" s="300"/>
      <c r="X17" s="300"/>
      <c r="Y17" s="300"/>
    </row>
    <row r="18" spans="1:25" ht="28.95" customHeight="1">
      <c r="A18" s="300"/>
      <c r="B18" s="309">
        <v>1</v>
      </c>
      <c r="C18" s="874" t="s">
        <v>89</v>
      </c>
      <c r="D18" s="874"/>
      <c r="E18" s="874"/>
      <c r="F18" s="874"/>
      <c r="G18" s="874"/>
      <c r="H18" s="874"/>
      <c r="I18" s="874"/>
      <c r="J18" s="874"/>
      <c r="K18" s="874"/>
      <c r="L18" s="874"/>
      <c r="M18" s="874"/>
      <c r="N18" s="874"/>
      <c r="O18" s="874"/>
      <c r="P18" s="874"/>
      <c r="Q18" s="874"/>
      <c r="R18" s="874"/>
      <c r="S18" s="503">
        <v>5</v>
      </c>
      <c r="T18" s="875">
        <f>IF(COUNTBLANK(S18:S22)&gt;0,"",AVERAGE(S18:S22))</f>
        <v>4.4000000000000004</v>
      </c>
      <c r="U18" s="878" t="str">
        <f>IFERROR(VLOOKUP(T18,core,2,1),"")</f>
        <v>Very Satisfactory</v>
      </c>
      <c r="V18" s="300"/>
      <c r="W18" s="300"/>
      <c r="X18" s="300"/>
      <c r="Y18" s="300"/>
    </row>
    <row r="19" spans="1:25" ht="28.95" customHeight="1">
      <c r="A19" s="300"/>
      <c r="B19" s="310">
        <v>2</v>
      </c>
      <c r="C19" s="881" t="s">
        <v>90</v>
      </c>
      <c r="D19" s="881"/>
      <c r="E19" s="881"/>
      <c r="F19" s="881"/>
      <c r="G19" s="881"/>
      <c r="H19" s="881"/>
      <c r="I19" s="881"/>
      <c r="J19" s="881"/>
      <c r="K19" s="881"/>
      <c r="L19" s="881"/>
      <c r="M19" s="881"/>
      <c r="N19" s="881"/>
      <c r="O19" s="881"/>
      <c r="P19" s="881"/>
      <c r="Q19" s="881"/>
      <c r="R19" s="881"/>
      <c r="S19" s="504">
        <v>4</v>
      </c>
      <c r="T19" s="876"/>
      <c r="U19" s="879"/>
      <c r="V19" s="300"/>
      <c r="W19" s="300"/>
      <c r="X19" s="300"/>
      <c r="Y19" s="300"/>
    </row>
    <row r="20" spans="1:25" ht="28.95" customHeight="1">
      <c r="A20" s="300"/>
      <c r="B20" s="310">
        <v>3</v>
      </c>
      <c r="C20" s="881" t="s">
        <v>91</v>
      </c>
      <c r="D20" s="881"/>
      <c r="E20" s="881"/>
      <c r="F20" s="881"/>
      <c r="G20" s="881"/>
      <c r="H20" s="881"/>
      <c r="I20" s="881"/>
      <c r="J20" s="881"/>
      <c r="K20" s="881"/>
      <c r="L20" s="881"/>
      <c r="M20" s="881"/>
      <c r="N20" s="881"/>
      <c r="O20" s="881"/>
      <c r="P20" s="881"/>
      <c r="Q20" s="881"/>
      <c r="R20" s="881"/>
      <c r="S20" s="504">
        <v>5</v>
      </c>
      <c r="T20" s="876"/>
      <c r="U20" s="879"/>
      <c r="V20" s="300"/>
      <c r="W20" s="300"/>
      <c r="X20" s="300"/>
      <c r="Y20" s="300"/>
    </row>
    <row r="21" spans="1:25" ht="16.8">
      <c r="A21" s="300"/>
      <c r="B21" s="310">
        <v>4</v>
      </c>
      <c r="C21" s="881" t="s">
        <v>92</v>
      </c>
      <c r="D21" s="881"/>
      <c r="E21" s="881"/>
      <c r="F21" s="881"/>
      <c r="G21" s="881"/>
      <c r="H21" s="881"/>
      <c r="I21" s="881"/>
      <c r="J21" s="881"/>
      <c r="K21" s="881"/>
      <c r="L21" s="881"/>
      <c r="M21" s="881"/>
      <c r="N21" s="881"/>
      <c r="O21" s="881"/>
      <c r="P21" s="881"/>
      <c r="Q21" s="881"/>
      <c r="R21" s="881"/>
      <c r="S21" s="504">
        <v>4</v>
      </c>
      <c r="T21" s="876"/>
      <c r="U21" s="879"/>
      <c r="V21" s="300"/>
      <c r="W21" s="300"/>
      <c r="X21" s="300"/>
      <c r="Y21" s="300"/>
    </row>
    <row r="22" spans="1:25" ht="28.95" customHeight="1" thickBot="1">
      <c r="A22" s="300"/>
      <c r="B22" s="311">
        <v>5</v>
      </c>
      <c r="C22" s="882" t="s">
        <v>93</v>
      </c>
      <c r="D22" s="882"/>
      <c r="E22" s="882"/>
      <c r="F22" s="882"/>
      <c r="G22" s="882"/>
      <c r="H22" s="882"/>
      <c r="I22" s="882"/>
      <c r="J22" s="882"/>
      <c r="K22" s="882"/>
      <c r="L22" s="882"/>
      <c r="M22" s="882"/>
      <c r="N22" s="882"/>
      <c r="O22" s="882"/>
      <c r="P22" s="882"/>
      <c r="Q22" s="882"/>
      <c r="R22" s="882"/>
      <c r="S22" s="505">
        <v>4</v>
      </c>
      <c r="T22" s="877"/>
      <c r="U22" s="880"/>
      <c r="V22" s="300"/>
      <c r="W22" s="300"/>
      <c r="X22" s="300"/>
      <c r="Y22" s="300"/>
    </row>
    <row r="23" spans="1:25" ht="7.95" customHeight="1">
      <c r="A23" s="300"/>
      <c r="B23" s="300"/>
      <c r="C23" s="300"/>
      <c r="D23" s="300"/>
      <c r="E23" s="300"/>
      <c r="F23" s="300"/>
      <c r="G23" s="300"/>
      <c r="H23" s="300"/>
      <c r="I23" s="300"/>
      <c r="J23" s="300"/>
      <c r="K23" s="300"/>
      <c r="L23" s="300"/>
      <c r="M23" s="300"/>
      <c r="N23" s="300"/>
      <c r="O23" s="300"/>
      <c r="P23" s="300"/>
      <c r="Q23" s="300"/>
      <c r="R23" s="300"/>
      <c r="S23" s="300"/>
      <c r="T23" s="300"/>
      <c r="U23" s="300"/>
      <c r="V23" s="300"/>
      <c r="W23" s="300"/>
      <c r="X23" s="300"/>
      <c r="Y23" s="300"/>
    </row>
    <row r="24" spans="1:25" ht="18.45" customHeight="1" thickBot="1">
      <c r="A24" s="300"/>
      <c r="B24" s="304" t="s">
        <v>94</v>
      </c>
      <c r="C24" s="300"/>
      <c r="D24" s="300"/>
      <c r="E24" s="300"/>
      <c r="F24" s="300"/>
      <c r="G24" s="300"/>
      <c r="H24" s="300"/>
      <c r="I24" s="300"/>
      <c r="J24" s="300"/>
      <c r="K24" s="300"/>
      <c r="L24" s="300"/>
      <c r="M24" s="300"/>
      <c r="N24" s="300"/>
      <c r="O24" s="300"/>
      <c r="P24" s="300"/>
      <c r="Q24" s="300"/>
      <c r="R24" s="300"/>
      <c r="S24" s="300"/>
      <c r="T24" s="300"/>
      <c r="U24" s="300"/>
      <c r="V24" s="300"/>
      <c r="W24" s="300"/>
      <c r="X24" s="300"/>
      <c r="Y24" s="300"/>
    </row>
    <row r="25" spans="1:25" ht="18.45" customHeight="1">
      <c r="A25" s="300"/>
      <c r="B25" s="309">
        <v>1</v>
      </c>
      <c r="C25" s="874" t="s">
        <v>95</v>
      </c>
      <c r="D25" s="874"/>
      <c r="E25" s="874"/>
      <c r="F25" s="874"/>
      <c r="G25" s="874"/>
      <c r="H25" s="874"/>
      <c r="I25" s="874"/>
      <c r="J25" s="874"/>
      <c r="K25" s="874"/>
      <c r="L25" s="874"/>
      <c r="M25" s="874"/>
      <c r="N25" s="874"/>
      <c r="O25" s="874"/>
      <c r="P25" s="874"/>
      <c r="Q25" s="874"/>
      <c r="R25" s="874"/>
      <c r="S25" s="503">
        <v>4</v>
      </c>
      <c r="T25" s="875">
        <f>IF(COUNTBLANK(S25:S29)&gt;0,"",AVERAGE(S25:S29))</f>
        <v>4.4000000000000004</v>
      </c>
      <c r="U25" s="878" t="str">
        <f>IFERROR(VLOOKUP(T25,core,2,1),"")</f>
        <v>Very Satisfactory</v>
      </c>
      <c r="V25" s="300"/>
      <c r="W25" s="300"/>
      <c r="X25" s="300"/>
      <c r="Y25" s="300"/>
    </row>
    <row r="26" spans="1:25" ht="28.95" customHeight="1">
      <c r="A26" s="300"/>
      <c r="B26" s="310">
        <v>2</v>
      </c>
      <c r="C26" s="881" t="s">
        <v>96</v>
      </c>
      <c r="D26" s="881"/>
      <c r="E26" s="881"/>
      <c r="F26" s="881"/>
      <c r="G26" s="881"/>
      <c r="H26" s="881"/>
      <c r="I26" s="881"/>
      <c r="J26" s="881"/>
      <c r="K26" s="881"/>
      <c r="L26" s="881"/>
      <c r="M26" s="881"/>
      <c r="N26" s="881"/>
      <c r="O26" s="881"/>
      <c r="P26" s="881"/>
      <c r="Q26" s="881"/>
      <c r="R26" s="881"/>
      <c r="S26" s="504">
        <v>5</v>
      </c>
      <c r="T26" s="876"/>
      <c r="U26" s="879"/>
      <c r="V26" s="300"/>
      <c r="W26" s="300"/>
      <c r="X26" s="300"/>
      <c r="Y26" s="300"/>
    </row>
    <row r="27" spans="1:25" ht="43.05" customHeight="1">
      <c r="A27" s="300"/>
      <c r="B27" s="310">
        <v>3</v>
      </c>
      <c r="C27" s="881" t="s">
        <v>97</v>
      </c>
      <c r="D27" s="881"/>
      <c r="E27" s="881"/>
      <c r="F27" s="881"/>
      <c r="G27" s="881"/>
      <c r="H27" s="881"/>
      <c r="I27" s="881"/>
      <c r="J27" s="881"/>
      <c r="K27" s="881"/>
      <c r="L27" s="881"/>
      <c r="M27" s="881"/>
      <c r="N27" s="881"/>
      <c r="O27" s="881"/>
      <c r="P27" s="881"/>
      <c r="Q27" s="881"/>
      <c r="R27" s="881"/>
      <c r="S27" s="504">
        <v>4</v>
      </c>
      <c r="T27" s="876"/>
      <c r="U27" s="879"/>
      <c r="V27" s="300"/>
      <c r="W27" s="300"/>
      <c r="X27" s="300"/>
      <c r="Y27" s="300"/>
    </row>
    <row r="28" spans="1:25" ht="28.95" customHeight="1">
      <c r="A28" s="300"/>
      <c r="B28" s="310">
        <v>4</v>
      </c>
      <c r="C28" s="881" t="s">
        <v>98</v>
      </c>
      <c r="D28" s="881"/>
      <c r="E28" s="881"/>
      <c r="F28" s="881"/>
      <c r="G28" s="881"/>
      <c r="H28" s="881"/>
      <c r="I28" s="881"/>
      <c r="J28" s="881"/>
      <c r="K28" s="881"/>
      <c r="L28" s="881"/>
      <c r="M28" s="881"/>
      <c r="N28" s="881"/>
      <c r="O28" s="881"/>
      <c r="P28" s="881"/>
      <c r="Q28" s="881"/>
      <c r="R28" s="881"/>
      <c r="S28" s="504">
        <v>5</v>
      </c>
      <c r="T28" s="876"/>
      <c r="U28" s="879"/>
      <c r="V28" s="300"/>
      <c r="W28" s="300"/>
      <c r="X28" s="300"/>
      <c r="Y28" s="300"/>
    </row>
    <row r="29" spans="1:25" ht="49.5" customHeight="1" thickBot="1">
      <c r="A29" s="300"/>
      <c r="B29" s="311">
        <v>5</v>
      </c>
      <c r="C29" s="882" t="s">
        <v>99</v>
      </c>
      <c r="D29" s="882"/>
      <c r="E29" s="882"/>
      <c r="F29" s="882"/>
      <c r="G29" s="882"/>
      <c r="H29" s="882"/>
      <c r="I29" s="882"/>
      <c r="J29" s="882"/>
      <c r="K29" s="882"/>
      <c r="L29" s="882"/>
      <c r="M29" s="882"/>
      <c r="N29" s="882"/>
      <c r="O29" s="882"/>
      <c r="P29" s="882"/>
      <c r="Q29" s="882"/>
      <c r="R29" s="882"/>
      <c r="S29" s="505">
        <v>4</v>
      </c>
      <c r="T29" s="877"/>
      <c r="U29" s="880"/>
      <c r="V29" s="300"/>
      <c r="W29" s="300"/>
      <c r="X29" s="300"/>
      <c r="Y29" s="300"/>
    </row>
    <row r="30" spans="1:25" ht="7.95" customHeight="1">
      <c r="A30" s="300"/>
      <c r="B30" s="300"/>
      <c r="C30" s="300"/>
      <c r="D30" s="300"/>
      <c r="E30" s="300"/>
      <c r="F30" s="300"/>
      <c r="G30" s="300"/>
      <c r="H30" s="300"/>
      <c r="I30" s="300"/>
      <c r="J30" s="300"/>
      <c r="K30" s="300"/>
      <c r="L30" s="300"/>
      <c r="M30" s="300"/>
      <c r="N30" s="300"/>
      <c r="O30" s="300"/>
      <c r="P30" s="300"/>
      <c r="Q30" s="300"/>
      <c r="R30" s="300"/>
      <c r="S30" s="300"/>
      <c r="T30" s="300"/>
      <c r="U30" s="300"/>
      <c r="V30" s="300"/>
      <c r="W30" s="300"/>
      <c r="X30" s="300"/>
      <c r="Y30" s="300"/>
    </row>
    <row r="31" spans="1:25" ht="18.45" customHeight="1" thickBot="1">
      <c r="A31" s="300"/>
      <c r="B31" s="304" t="s">
        <v>100</v>
      </c>
      <c r="C31" s="300"/>
      <c r="D31" s="300"/>
      <c r="E31" s="300"/>
      <c r="F31" s="300"/>
      <c r="G31" s="300"/>
      <c r="H31" s="300"/>
      <c r="I31" s="300"/>
      <c r="J31" s="300"/>
      <c r="K31" s="300"/>
      <c r="L31" s="300"/>
      <c r="M31" s="300"/>
      <c r="N31" s="300"/>
      <c r="O31" s="300"/>
      <c r="P31" s="300"/>
      <c r="Q31" s="300"/>
      <c r="R31" s="300"/>
      <c r="S31" s="300"/>
      <c r="T31" s="300"/>
      <c r="U31" s="300"/>
      <c r="V31" s="300"/>
      <c r="W31" s="300"/>
      <c r="X31" s="300"/>
      <c r="Y31" s="300"/>
    </row>
    <row r="32" spans="1:25" ht="18.45" customHeight="1">
      <c r="A32" s="300"/>
      <c r="B32" s="309">
        <v>1</v>
      </c>
      <c r="C32" s="874" t="s">
        <v>101</v>
      </c>
      <c r="D32" s="874"/>
      <c r="E32" s="874"/>
      <c r="F32" s="874"/>
      <c r="G32" s="874"/>
      <c r="H32" s="874"/>
      <c r="I32" s="874"/>
      <c r="J32" s="874"/>
      <c r="K32" s="874"/>
      <c r="L32" s="874"/>
      <c r="M32" s="874"/>
      <c r="N32" s="874"/>
      <c r="O32" s="874"/>
      <c r="P32" s="874"/>
      <c r="Q32" s="874"/>
      <c r="R32" s="874"/>
      <c r="S32" s="503">
        <v>5</v>
      </c>
      <c r="T32" s="875">
        <f>IF(COUNTBLANK(S32:S36)&gt;0,"",AVERAGE(S32:S36))</f>
        <v>4.2</v>
      </c>
      <c r="U32" s="878" t="str">
        <f>IFERROR(VLOOKUP(T32,core,2,1),"")</f>
        <v>Very Satisfactory</v>
      </c>
      <c r="V32" s="300"/>
      <c r="W32" s="300"/>
      <c r="X32" s="300"/>
      <c r="Y32" s="300"/>
    </row>
    <row r="33" spans="1:25" ht="18.45" customHeight="1">
      <c r="A33" s="300"/>
      <c r="B33" s="310">
        <v>2</v>
      </c>
      <c r="C33" s="881" t="s">
        <v>102</v>
      </c>
      <c r="D33" s="881"/>
      <c r="E33" s="881"/>
      <c r="F33" s="881"/>
      <c r="G33" s="881"/>
      <c r="H33" s="881"/>
      <c r="I33" s="881"/>
      <c r="J33" s="881"/>
      <c r="K33" s="881"/>
      <c r="L33" s="881"/>
      <c r="M33" s="881"/>
      <c r="N33" s="881"/>
      <c r="O33" s="881"/>
      <c r="P33" s="881"/>
      <c r="Q33" s="881"/>
      <c r="R33" s="881"/>
      <c r="S33" s="504">
        <v>4</v>
      </c>
      <c r="T33" s="876"/>
      <c r="U33" s="879"/>
      <c r="V33" s="300"/>
      <c r="W33" s="300"/>
      <c r="X33" s="300"/>
      <c r="Y33" s="300"/>
    </row>
    <row r="34" spans="1:25" ht="18.45" customHeight="1">
      <c r="A34" s="300"/>
      <c r="B34" s="310">
        <v>3</v>
      </c>
      <c r="C34" s="881" t="s">
        <v>103</v>
      </c>
      <c r="D34" s="881"/>
      <c r="E34" s="881"/>
      <c r="F34" s="881"/>
      <c r="G34" s="881"/>
      <c r="H34" s="881"/>
      <c r="I34" s="881"/>
      <c r="J34" s="881"/>
      <c r="K34" s="881"/>
      <c r="L34" s="881"/>
      <c r="M34" s="881"/>
      <c r="N34" s="881"/>
      <c r="O34" s="881"/>
      <c r="P34" s="881"/>
      <c r="Q34" s="881"/>
      <c r="R34" s="881"/>
      <c r="S34" s="504">
        <v>4</v>
      </c>
      <c r="T34" s="876"/>
      <c r="U34" s="879"/>
      <c r="V34" s="300"/>
      <c r="W34" s="300"/>
      <c r="X34" s="300"/>
      <c r="Y34" s="300"/>
    </row>
    <row r="35" spans="1:25" ht="18.45" customHeight="1">
      <c r="A35" s="300"/>
      <c r="B35" s="310">
        <v>4</v>
      </c>
      <c r="C35" s="881" t="s">
        <v>104</v>
      </c>
      <c r="D35" s="881"/>
      <c r="E35" s="881"/>
      <c r="F35" s="881"/>
      <c r="G35" s="881"/>
      <c r="H35" s="881"/>
      <c r="I35" s="881"/>
      <c r="J35" s="881"/>
      <c r="K35" s="881"/>
      <c r="L35" s="881"/>
      <c r="M35" s="881"/>
      <c r="N35" s="881"/>
      <c r="O35" s="881"/>
      <c r="P35" s="881"/>
      <c r="Q35" s="881"/>
      <c r="R35" s="881"/>
      <c r="S35" s="504">
        <v>4</v>
      </c>
      <c r="T35" s="876"/>
      <c r="U35" s="879"/>
      <c r="V35" s="300"/>
      <c r="W35" s="300"/>
      <c r="X35" s="300"/>
      <c r="Y35" s="300"/>
    </row>
    <row r="36" spans="1:25" ht="28.95" customHeight="1" thickBot="1">
      <c r="A36" s="300"/>
      <c r="B36" s="311">
        <v>5</v>
      </c>
      <c r="C36" s="882" t="s">
        <v>105</v>
      </c>
      <c r="D36" s="882"/>
      <c r="E36" s="882"/>
      <c r="F36" s="882"/>
      <c r="G36" s="882"/>
      <c r="H36" s="882"/>
      <c r="I36" s="882"/>
      <c r="J36" s="882"/>
      <c r="K36" s="882"/>
      <c r="L36" s="882"/>
      <c r="M36" s="882"/>
      <c r="N36" s="882"/>
      <c r="O36" s="882"/>
      <c r="P36" s="882"/>
      <c r="Q36" s="882"/>
      <c r="R36" s="882"/>
      <c r="S36" s="505">
        <v>4</v>
      </c>
      <c r="T36" s="877"/>
      <c r="U36" s="880"/>
      <c r="V36" s="300"/>
      <c r="W36" s="300"/>
      <c r="X36" s="300"/>
      <c r="Y36" s="300"/>
    </row>
    <row r="37" spans="1:25" ht="10.5" customHeight="1">
      <c r="A37" s="300"/>
      <c r="B37" s="300"/>
      <c r="C37" s="300"/>
      <c r="D37" s="300"/>
      <c r="E37" s="300"/>
      <c r="F37" s="300"/>
      <c r="G37" s="300"/>
      <c r="H37" s="300"/>
      <c r="I37" s="300"/>
      <c r="J37" s="300"/>
      <c r="K37" s="300"/>
      <c r="L37" s="300"/>
      <c r="M37" s="300"/>
      <c r="N37" s="300"/>
      <c r="O37" s="300"/>
      <c r="P37" s="300"/>
      <c r="Q37" s="300"/>
      <c r="R37" s="300"/>
      <c r="S37" s="300"/>
      <c r="T37" s="300"/>
      <c r="U37" s="300"/>
      <c r="V37" s="300"/>
      <c r="W37" s="300"/>
      <c r="X37" s="300"/>
      <c r="Y37" s="300"/>
    </row>
    <row r="38" spans="1:25" ht="18.45" customHeight="1" thickBot="1">
      <c r="A38" s="300"/>
      <c r="B38" s="304" t="s">
        <v>106</v>
      </c>
      <c r="C38" s="300"/>
      <c r="D38" s="300"/>
      <c r="E38" s="300"/>
      <c r="F38" s="300"/>
      <c r="G38" s="300"/>
      <c r="H38" s="300"/>
      <c r="I38" s="300"/>
      <c r="J38" s="300"/>
      <c r="K38" s="300"/>
      <c r="L38" s="300"/>
      <c r="M38" s="300"/>
      <c r="N38" s="300"/>
      <c r="O38" s="300"/>
      <c r="P38" s="300"/>
      <c r="Q38" s="300"/>
      <c r="R38" s="300"/>
      <c r="S38" s="300"/>
      <c r="T38" s="300"/>
      <c r="U38" s="300"/>
      <c r="V38" s="300"/>
      <c r="W38" s="300"/>
      <c r="X38" s="300"/>
      <c r="Y38" s="300"/>
    </row>
    <row r="39" spans="1:25" ht="18.45" customHeight="1">
      <c r="A39" s="300"/>
      <c r="B39" s="309">
        <v>1</v>
      </c>
      <c r="C39" s="874" t="s">
        <v>107</v>
      </c>
      <c r="D39" s="874"/>
      <c r="E39" s="874"/>
      <c r="F39" s="874"/>
      <c r="G39" s="874"/>
      <c r="H39" s="874"/>
      <c r="I39" s="874"/>
      <c r="J39" s="874"/>
      <c r="K39" s="874"/>
      <c r="L39" s="874"/>
      <c r="M39" s="874"/>
      <c r="N39" s="874"/>
      <c r="O39" s="874"/>
      <c r="P39" s="874"/>
      <c r="Q39" s="874"/>
      <c r="R39" s="874"/>
      <c r="S39" s="503">
        <v>4</v>
      </c>
      <c r="T39" s="875">
        <f>IF(COUNTBLANK(S39:S43)&gt;0,"",AVERAGE(S39:S43))</f>
        <v>4.2</v>
      </c>
      <c r="U39" s="878" t="str">
        <f>IFERROR(VLOOKUP(T39,core,2,1),"")</f>
        <v>Very Satisfactory</v>
      </c>
      <c r="V39" s="300"/>
      <c r="W39" s="300"/>
      <c r="X39" s="300"/>
      <c r="Y39" s="300"/>
    </row>
    <row r="40" spans="1:25" ht="18.45" customHeight="1">
      <c r="A40" s="300"/>
      <c r="B40" s="310">
        <v>2</v>
      </c>
      <c r="C40" s="881" t="s">
        <v>108</v>
      </c>
      <c r="D40" s="881"/>
      <c r="E40" s="881"/>
      <c r="F40" s="881"/>
      <c r="G40" s="881"/>
      <c r="H40" s="881"/>
      <c r="I40" s="881"/>
      <c r="J40" s="881"/>
      <c r="K40" s="881"/>
      <c r="L40" s="881"/>
      <c r="M40" s="881"/>
      <c r="N40" s="881"/>
      <c r="O40" s="881"/>
      <c r="P40" s="881"/>
      <c r="Q40" s="881"/>
      <c r="R40" s="881"/>
      <c r="S40" s="504">
        <v>5</v>
      </c>
      <c r="T40" s="876"/>
      <c r="U40" s="879"/>
      <c r="V40" s="300"/>
      <c r="W40" s="300"/>
      <c r="X40" s="300"/>
      <c r="Y40" s="300"/>
    </row>
    <row r="41" spans="1:25" ht="18.45" customHeight="1">
      <c r="A41" s="300"/>
      <c r="B41" s="310">
        <v>3</v>
      </c>
      <c r="C41" s="881" t="s">
        <v>109</v>
      </c>
      <c r="D41" s="881"/>
      <c r="E41" s="881"/>
      <c r="F41" s="881"/>
      <c r="G41" s="881"/>
      <c r="H41" s="881"/>
      <c r="I41" s="881"/>
      <c r="J41" s="881"/>
      <c r="K41" s="881"/>
      <c r="L41" s="881"/>
      <c r="M41" s="881"/>
      <c r="N41" s="881"/>
      <c r="O41" s="881"/>
      <c r="P41" s="881"/>
      <c r="Q41" s="881"/>
      <c r="R41" s="881"/>
      <c r="S41" s="504">
        <v>4</v>
      </c>
      <c r="T41" s="876"/>
      <c r="U41" s="879"/>
      <c r="V41" s="300"/>
      <c r="W41" s="300"/>
      <c r="X41" s="300"/>
      <c r="Y41" s="300"/>
    </row>
    <row r="42" spans="1:25" ht="18.45" customHeight="1">
      <c r="A42" s="300"/>
      <c r="B42" s="310">
        <v>4</v>
      </c>
      <c r="C42" s="881" t="s">
        <v>110</v>
      </c>
      <c r="D42" s="881"/>
      <c r="E42" s="881"/>
      <c r="F42" s="881"/>
      <c r="G42" s="881"/>
      <c r="H42" s="881"/>
      <c r="I42" s="881"/>
      <c r="J42" s="881"/>
      <c r="K42" s="881"/>
      <c r="L42" s="881"/>
      <c r="M42" s="881"/>
      <c r="N42" s="881"/>
      <c r="O42" s="881"/>
      <c r="P42" s="881"/>
      <c r="Q42" s="881"/>
      <c r="R42" s="881"/>
      <c r="S42" s="504">
        <v>4</v>
      </c>
      <c r="T42" s="876"/>
      <c r="U42" s="879"/>
      <c r="V42" s="300"/>
      <c r="W42" s="300"/>
      <c r="X42" s="300"/>
      <c r="Y42" s="300"/>
    </row>
    <row r="43" spans="1:25" ht="28.95" customHeight="1" thickBot="1">
      <c r="A43" s="300"/>
      <c r="B43" s="311">
        <v>5</v>
      </c>
      <c r="C43" s="882" t="s">
        <v>111</v>
      </c>
      <c r="D43" s="882"/>
      <c r="E43" s="882"/>
      <c r="F43" s="882"/>
      <c r="G43" s="882"/>
      <c r="H43" s="882"/>
      <c r="I43" s="882"/>
      <c r="J43" s="882"/>
      <c r="K43" s="882"/>
      <c r="L43" s="882"/>
      <c r="M43" s="882"/>
      <c r="N43" s="882"/>
      <c r="O43" s="882"/>
      <c r="P43" s="882"/>
      <c r="Q43" s="882"/>
      <c r="R43" s="882"/>
      <c r="S43" s="505">
        <v>4</v>
      </c>
      <c r="T43" s="877"/>
      <c r="U43" s="880"/>
      <c r="V43" s="300"/>
      <c r="W43" s="300"/>
      <c r="X43" s="300"/>
      <c r="Y43" s="300"/>
    </row>
    <row r="44" spans="1:25" ht="8.5500000000000007" customHeight="1">
      <c r="A44" s="300"/>
      <c r="B44" s="300"/>
      <c r="C44" s="300"/>
      <c r="D44" s="300"/>
      <c r="E44" s="300"/>
      <c r="F44" s="300"/>
      <c r="G44" s="300"/>
      <c r="H44" s="300"/>
      <c r="I44" s="300"/>
      <c r="J44" s="300"/>
      <c r="K44" s="300"/>
      <c r="L44" s="300"/>
      <c r="M44" s="300"/>
      <c r="N44" s="300"/>
      <c r="O44" s="300"/>
      <c r="P44" s="300"/>
      <c r="Q44" s="300"/>
      <c r="R44" s="300"/>
      <c r="S44" s="300"/>
      <c r="T44" s="300"/>
      <c r="U44" s="300"/>
      <c r="V44" s="300"/>
      <c r="W44" s="300"/>
      <c r="X44" s="300"/>
      <c r="Y44" s="300"/>
    </row>
    <row r="45" spans="1:25" ht="18.45" customHeight="1" thickBot="1">
      <c r="A45" s="300"/>
      <c r="B45" s="304" t="s">
        <v>112</v>
      </c>
      <c r="C45" s="300"/>
      <c r="D45" s="300"/>
      <c r="E45" s="300"/>
      <c r="F45" s="300"/>
      <c r="G45" s="300"/>
      <c r="H45" s="300"/>
      <c r="I45" s="300"/>
      <c r="J45" s="300"/>
      <c r="K45" s="300"/>
      <c r="L45" s="300"/>
      <c r="M45" s="300"/>
      <c r="N45" s="300"/>
      <c r="O45" s="300"/>
      <c r="P45" s="300"/>
      <c r="Q45" s="300"/>
      <c r="R45" s="300"/>
      <c r="S45" s="300"/>
      <c r="T45" s="300"/>
      <c r="U45" s="300"/>
      <c r="V45" s="300"/>
      <c r="W45" s="300"/>
      <c r="X45" s="300"/>
      <c r="Y45" s="300"/>
    </row>
    <row r="46" spans="1:25" ht="28.95" customHeight="1">
      <c r="A46" s="300"/>
      <c r="B46" s="309">
        <v>1</v>
      </c>
      <c r="C46" s="874" t="s">
        <v>113</v>
      </c>
      <c r="D46" s="874"/>
      <c r="E46" s="874"/>
      <c r="F46" s="874"/>
      <c r="G46" s="874"/>
      <c r="H46" s="874"/>
      <c r="I46" s="874"/>
      <c r="J46" s="874"/>
      <c r="K46" s="874"/>
      <c r="L46" s="874"/>
      <c r="M46" s="874"/>
      <c r="N46" s="874"/>
      <c r="O46" s="874"/>
      <c r="P46" s="874"/>
      <c r="Q46" s="874"/>
      <c r="R46" s="874"/>
      <c r="S46" s="503">
        <v>5</v>
      </c>
      <c r="T46" s="875">
        <f>IF(COUNTBLANK(S46:S50)&gt;0,"",AVERAGE(S46:S50))</f>
        <v>4.2</v>
      </c>
      <c r="U46" s="878" t="str">
        <f>IFERROR(VLOOKUP(T46,core,2,1),"")</f>
        <v>Very Satisfactory</v>
      </c>
      <c r="V46" s="300"/>
      <c r="W46" s="300"/>
      <c r="X46" s="300"/>
      <c r="Y46" s="300"/>
    </row>
    <row r="47" spans="1:25" ht="28.95" customHeight="1">
      <c r="A47" s="300"/>
      <c r="B47" s="310">
        <v>2</v>
      </c>
      <c r="C47" s="881" t="s">
        <v>114</v>
      </c>
      <c r="D47" s="881"/>
      <c r="E47" s="881"/>
      <c r="F47" s="881"/>
      <c r="G47" s="881"/>
      <c r="H47" s="881"/>
      <c r="I47" s="881"/>
      <c r="J47" s="881"/>
      <c r="K47" s="881"/>
      <c r="L47" s="881"/>
      <c r="M47" s="881"/>
      <c r="N47" s="881"/>
      <c r="O47" s="881"/>
      <c r="P47" s="881"/>
      <c r="Q47" s="881"/>
      <c r="R47" s="881"/>
      <c r="S47" s="504">
        <v>4</v>
      </c>
      <c r="T47" s="876"/>
      <c r="U47" s="879"/>
      <c r="V47" s="300"/>
      <c r="W47" s="300"/>
      <c r="X47" s="300"/>
      <c r="Y47" s="300"/>
    </row>
    <row r="48" spans="1:25" ht="18.45" customHeight="1">
      <c r="A48" s="300"/>
      <c r="B48" s="310">
        <v>3</v>
      </c>
      <c r="C48" s="881" t="s">
        <v>115</v>
      </c>
      <c r="D48" s="881"/>
      <c r="E48" s="881"/>
      <c r="F48" s="881"/>
      <c r="G48" s="881"/>
      <c r="H48" s="881"/>
      <c r="I48" s="881"/>
      <c r="J48" s="881"/>
      <c r="K48" s="881"/>
      <c r="L48" s="881"/>
      <c r="M48" s="881"/>
      <c r="N48" s="881"/>
      <c r="O48" s="881"/>
      <c r="P48" s="881"/>
      <c r="Q48" s="881"/>
      <c r="R48" s="881"/>
      <c r="S48" s="504">
        <v>4</v>
      </c>
      <c r="T48" s="876"/>
      <c r="U48" s="879"/>
      <c r="V48" s="300"/>
      <c r="W48" s="300"/>
      <c r="X48" s="300"/>
      <c r="Y48" s="300"/>
    </row>
    <row r="49" spans="1:25" ht="18.45" customHeight="1">
      <c r="A49" s="300"/>
      <c r="B49" s="310">
        <v>4</v>
      </c>
      <c r="C49" s="881" t="s">
        <v>116</v>
      </c>
      <c r="D49" s="881"/>
      <c r="E49" s="881"/>
      <c r="F49" s="881"/>
      <c r="G49" s="881"/>
      <c r="H49" s="881"/>
      <c r="I49" s="881"/>
      <c r="J49" s="881"/>
      <c r="K49" s="881"/>
      <c r="L49" s="881"/>
      <c r="M49" s="881"/>
      <c r="N49" s="881"/>
      <c r="O49" s="881"/>
      <c r="P49" s="881"/>
      <c r="Q49" s="881"/>
      <c r="R49" s="881"/>
      <c r="S49" s="504">
        <v>4</v>
      </c>
      <c r="T49" s="876"/>
      <c r="U49" s="879"/>
      <c r="V49" s="300"/>
      <c r="W49" s="300"/>
      <c r="X49" s="300"/>
      <c r="Y49" s="300"/>
    </row>
    <row r="50" spans="1:25" ht="28.95" customHeight="1" thickBot="1">
      <c r="A50" s="300"/>
      <c r="B50" s="311">
        <v>5</v>
      </c>
      <c r="C50" s="882" t="s">
        <v>117</v>
      </c>
      <c r="D50" s="882"/>
      <c r="E50" s="882"/>
      <c r="F50" s="882"/>
      <c r="G50" s="882"/>
      <c r="H50" s="882"/>
      <c r="I50" s="882"/>
      <c r="J50" s="882"/>
      <c r="K50" s="882"/>
      <c r="L50" s="882"/>
      <c r="M50" s="882"/>
      <c r="N50" s="882"/>
      <c r="O50" s="882"/>
      <c r="P50" s="882"/>
      <c r="Q50" s="882"/>
      <c r="R50" s="882"/>
      <c r="S50" s="505">
        <v>4</v>
      </c>
      <c r="T50" s="877"/>
      <c r="U50" s="880"/>
      <c r="V50" s="300"/>
      <c r="W50" s="300"/>
      <c r="X50" s="300"/>
      <c r="Y50" s="300"/>
    </row>
    <row r="51" spans="1:25" ht="8.5500000000000007" customHeight="1">
      <c r="A51" s="300"/>
      <c r="B51" s="300"/>
      <c r="C51" s="300"/>
      <c r="D51" s="300"/>
      <c r="E51" s="300"/>
      <c r="F51" s="300"/>
      <c r="G51" s="300"/>
      <c r="H51" s="300"/>
      <c r="I51" s="300"/>
      <c r="J51" s="300"/>
      <c r="K51" s="300"/>
      <c r="L51" s="300"/>
      <c r="M51" s="300"/>
      <c r="N51" s="300"/>
      <c r="O51" s="300"/>
      <c r="P51" s="300"/>
      <c r="Q51" s="300"/>
      <c r="R51" s="300"/>
      <c r="S51" s="300"/>
      <c r="T51" s="300"/>
      <c r="U51" s="300"/>
      <c r="V51" s="300"/>
      <c r="W51" s="300"/>
      <c r="X51" s="300"/>
      <c r="Y51" s="300"/>
    </row>
    <row r="52" spans="1:25" ht="18.45" customHeight="1" thickBot="1">
      <c r="A52" s="300"/>
      <c r="B52" s="304" t="s">
        <v>118</v>
      </c>
      <c r="C52" s="300"/>
      <c r="D52" s="300"/>
      <c r="E52" s="300"/>
      <c r="F52" s="300"/>
      <c r="G52" s="300"/>
      <c r="H52" s="300"/>
      <c r="I52" s="300"/>
      <c r="J52" s="300"/>
      <c r="K52" s="300"/>
      <c r="L52" s="300"/>
      <c r="M52" s="300"/>
      <c r="N52" s="300"/>
      <c r="O52" s="300"/>
      <c r="P52" s="300"/>
      <c r="Q52" s="300"/>
      <c r="R52" s="300"/>
      <c r="S52" s="300"/>
      <c r="T52" s="300"/>
      <c r="U52" s="300"/>
      <c r="V52" s="300"/>
      <c r="W52" s="300"/>
      <c r="X52" s="300"/>
      <c r="Y52" s="300"/>
    </row>
    <row r="53" spans="1:25" ht="16.8">
      <c r="A53" s="300"/>
      <c r="B53" s="309">
        <v>1</v>
      </c>
      <c r="C53" s="874" t="s">
        <v>119</v>
      </c>
      <c r="D53" s="874"/>
      <c r="E53" s="874"/>
      <c r="F53" s="874"/>
      <c r="G53" s="874"/>
      <c r="H53" s="874"/>
      <c r="I53" s="874"/>
      <c r="J53" s="874"/>
      <c r="K53" s="874"/>
      <c r="L53" s="874"/>
      <c r="M53" s="874"/>
      <c r="N53" s="874"/>
      <c r="O53" s="874"/>
      <c r="P53" s="874"/>
      <c r="Q53" s="874"/>
      <c r="R53" s="874"/>
      <c r="S53" s="503">
        <v>5</v>
      </c>
      <c r="T53" s="875">
        <f>IF(COUNTBLANK(S53:S57)&gt;0,"",AVERAGE(S53:S57))</f>
        <v>4.8</v>
      </c>
      <c r="U53" s="878" t="str">
        <f>IFERROR(VLOOKUP(T53,core,2,1),"")</f>
        <v>Outstanding</v>
      </c>
      <c r="V53" s="300"/>
      <c r="W53" s="300"/>
      <c r="X53" s="300"/>
      <c r="Y53" s="300"/>
    </row>
    <row r="54" spans="1:25" ht="28.95" customHeight="1">
      <c r="A54" s="300"/>
      <c r="B54" s="310">
        <v>2</v>
      </c>
      <c r="C54" s="881" t="s">
        <v>120</v>
      </c>
      <c r="D54" s="881"/>
      <c r="E54" s="881"/>
      <c r="F54" s="881"/>
      <c r="G54" s="881"/>
      <c r="H54" s="881"/>
      <c r="I54" s="881"/>
      <c r="J54" s="881"/>
      <c r="K54" s="881"/>
      <c r="L54" s="881"/>
      <c r="M54" s="881"/>
      <c r="N54" s="881"/>
      <c r="O54" s="881"/>
      <c r="P54" s="881"/>
      <c r="Q54" s="881"/>
      <c r="R54" s="881"/>
      <c r="S54" s="504">
        <v>5</v>
      </c>
      <c r="T54" s="876"/>
      <c r="U54" s="879"/>
      <c r="V54" s="300"/>
      <c r="W54" s="300"/>
      <c r="X54" s="300"/>
      <c r="Y54" s="300"/>
    </row>
    <row r="55" spans="1:25" ht="18.45" customHeight="1">
      <c r="A55" s="300"/>
      <c r="B55" s="310">
        <v>3</v>
      </c>
      <c r="C55" s="881" t="s">
        <v>121</v>
      </c>
      <c r="D55" s="881"/>
      <c r="E55" s="881"/>
      <c r="F55" s="881"/>
      <c r="G55" s="881"/>
      <c r="H55" s="881"/>
      <c r="I55" s="881"/>
      <c r="J55" s="881"/>
      <c r="K55" s="881"/>
      <c r="L55" s="881"/>
      <c r="M55" s="881"/>
      <c r="N55" s="881"/>
      <c r="O55" s="881"/>
      <c r="P55" s="881"/>
      <c r="Q55" s="881"/>
      <c r="R55" s="881"/>
      <c r="S55" s="504">
        <v>4</v>
      </c>
      <c r="T55" s="876"/>
      <c r="U55" s="879"/>
      <c r="V55" s="300"/>
      <c r="W55" s="300"/>
      <c r="X55" s="300"/>
      <c r="Y55" s="300"/>
    </row>
    <row r="56" spans="1:25" ht="18.45" customHeight="1">
      <c r="A56" s="300"/>
      <c r="B56" s="310">
        <v>4</v>
      </c>
      <c r="C56" s="881" t="s">
        <v>122</v>
      </c>
      <c r="D56" s="881"/>
      <c r="E56" s="881"/>
      <c r="F56" s="881"/>
      <c r="G56" s="881"/>
      <c r="H56" s="881"/>
      <c r="I56" s="881"/>
      <c r="J56" s="881"/>
      <c r="K56" s="881"/>
      <c r="L56" s="881"/>
      <c r="M56" s="881"/>
      <c r="N56" s="881"/>
      <c r="O56" s="881"/>
      <c r="P56" s="881"/>
      <c r="Q56" s="881"/>
      <c r="R56" s="881"/>
      <c r="S56" s="504">
        <v>5</v>
      </c>
      <c r="T56" s="876"/>
      <c r="U56" s="879"/>
      <c r="V56" s="300"/>
      <c r="W56" s="300"/>
      <c r="X56" s="300"/>
      <c r="Y56" s="300"/>
    </row>
    <row r="57" spans="1:25" ht="17.399999999999999" thickBot="1">
      <c r="A57" s="300"/>
      <c r="B57" s="311">
        <v>5</v>
      </c>
      <c r="C57" s="882" t="s">
        <v>123</v>
      </c>
      <c r="D57" s="882"/>
      <c r="E57" s="882"/>
      <c r="F57" s="882"/>
      <c r="G57" s="882"/>
      <c r="H57" s="882"/>
      <c r="I57" s="882"/>
      <c r="J57" s="882"/>
      <c r="K57" s="882"/>
      <c r="L57" s="882"/>
      <c r="M57" s="882"/>
      <c r="N57" s="882"/>
      <c r="O57" s="882"/>
      <c r="P57" s="882"/>
      <c r="Q57" s="882"/>
      <c r="R57" s="882"/>
      <c r="S57" s="505">
        <v>5</v>
      </c>
      <c r="T57" s="877"/>
      <c r="U57" s="880"/>
      <c r="V57" s="300"/>
      <c r="W57" s="300"/>
      <c r="X57" s="300"/>
      <c r="Y57" s="300"/>
    </row>
    <row r="58" spans="1:25" ht="17.399999999999999" thickBot="1">
      <c r="A58" s="300"/>
      <c r="B58" s="312"/>
      <c r="C58" s="313"/>
      <c r="D58" s="313"/>
      <c r="E58" s="313"/>
      <c r="F58" s="313"/>
      <c r="G58" s="313"/>
      <c r="H58" s="313"/>
      <c r="I58" s="313"/>
      <c r="J58" s="313"/>
      <c r="K58" s="313"/>
      <c r="L58" s="313"/>
      <c r="M58" s="313"/>
      <c r="N58" s="313"/>
      <c r="O58" s="313"/>
      <c r="P58" s="313"/>
      <c r="Q58" s="313"/>
      <c r="R58" s="313"/>
      <c r="S58" s="314"/>
      <c r="T58" s="315"/>
      <c r="U58" s="314"/>
      <c r="V58" s="300"/>
      <c r="W58" s="300"/>
      <c r="X58" s="300"/>
      <c r="Y58" s="300"/>
    </row>
    <row r="59" spans="1:25" ht="34.950000000000003" hidden="1" customHeight="1" thickBot="1">
      <c r="A59" s="300"/>
      <c r="B59" s="312"/>
      <c r="C59" s="313"/>
      <c r="D59" s="313"/>
      <c r="E59" s="313"/>
      <c r="F59" s="313"/>
      <c r="G59" s="313"/>
      <c r="H59" s="313"/>
      <c r="I59" s="313"/>
      <c r="J59" s="313"/>
      <c r="K59" s="313"/>
      <c r="L59" s="313"/>
      <c r="M59" s="313"/>
      <c r="N59" s="313"/>
      <c r="O59" s="316">
        <f>ROUND(((T53+T46+T39+T32+T25+T18+T11)/7),3)</f>
        <v>4.4290000000000003</v>
      </c>
      <c r="P59" s="313"/>
      <c r="Q59" s="313"/>
      <c r="R59" s="313"/>
      <c r="S59" s="314"/>
      <c r="T59" s="315"/>
      <c r="U59" s="314"/>
      <c r="V59" s="300"/>
      <c r="W59" s="300"/>
      <c r="X59" s="300"/>
      <c r="Y59" s="300"/>
    </row>
    <row r="60" spans="1:25" ht="25.95" customHeight="1" thickBot="1">
      <c r="A60" s="300"/>
      <c r="B60" s="317"/>
      <c r="C60" s="896" t="s">
        <v>163</v>
      </c>
      <c r="D60" s="897"/>
      <c r="E60" s="897"/>
      <c r="F60" s="897"/>
      <c r="G60" s="897"/>
      <c r="H60" s="897"/>
      <c r="I60" s="897"/>
      <c r="J60" s="897"/>
      <c r="K60" s="897"/>
      <c r="L60" s="897"/>
      <c r="M60" s="898"/>
      <c r="N60" s="893">
        <f>IFERROR(O59,"")</f>
        <v>4.4290000000000003</v>
      </c>
      <c r="O60" s="894"/>
      <c r="P60" s="894"/>
      <c r="Q60" s="895"/>
      <c r="R60" s="890" t="str">
        <f>IFERROR(VLOOKUP(N60,core,2,1),"")</f>
        <v>Very Satisfactory</v>
      </c>
      <c r="S60" s="891"/>
      <c r="T60" s="891"/>
      <c r="U60" s="892"/>
      <c r="V60" s="300"/>
      <c r="W60" s="300"/>
      <c r="X60" s="300"/>
      <c r="Y60" s="300"/>
    </row>
    <row r="61" spans="1:25" ht="16.8">
      <c r="A61" s="300"/>
      <c r="B61" s="312"/>
      <c r="C61" s="313"/>
      <c r="D61" s="313"/>
      <c r="E61" s="313"/>
      <c r="F61" s="313"/>
      <c r="G61" s="313"/>
      <c r="H61" s="313"/>
      <c r="I61" s="313"/>
      <c r="J61" s="313"/>
      <c r="K61" s="313"/>
      <c r="L61" s="313"/>
      <c r="M61" s="313"/>
      <c r="N61" s="318"/>
      <c r="O61" s="313"/>
      <c r="P61" s="313"/>
      <c r="Q61" s="313"/>
      <c r="R61" s="313"/>
      <c r="S61" s="314"/>
      <c r="T61" s="315"/>
      <c r="U61" s="314"/>
      <c r="V61" s="300"/>
      <c r="W61" s="300"/>
      <c r="X61" s="300"/>
      <c r="Y61" s="300"/>
    </row>
    <row r="62" spans="1:25" ht="16.8">
      <c r="A62" s="300"/>
      <c r="B62" s="312"/>
      <c r="C62" s="313"/>
      <c r="D62" s="313"/>
      <c r="E62" s="313"/>
      <c r="F62" s="313"/>
      <c r="G62" s="313"/>
      <c r="H62" s="313"/>
      <c r="I62" s="313"/>
      <c r="J62" s="313"/>
      <c r="K62" s="313"/>
      <c r="L62" s="313"/>
      <c r="M62" s="313"/>
      <c r="N62" s="313"/>
      <c r="O62" s="313"/>
      <c r="P62" s="313"/>
      <c r="Q62" s="313"/>
      <c r="R62" s="313"/>
      <c r="S62" s="314"/>
      <c r="T62" s="315"/>
      <c r="U62" s="314"/>
      <c r="V62" s="300"/>
      <c r="W62" s="300"/>
      <c r="X62" s="300"/>
      <c r="Y62" s="300"/>
    </row>
    <row r="63" spans="1:25" ht="16.8">
      <c r="A63" s="300"/>
      <c r="B63" s="793" t="str">
        <f>'Encoding Part 1'!C7</f>
        <v>EJONIE G. DEGOLLACION</v>
      </c>
      <c r="C63" s="793"/>
      <c r="D63" s="793"/>
      <c r="E63" s="793"/>
      <c r="F63" s="793"/>
      <c r="G63" s="793"/>
      <c r="H63" s="793"/>
      <c r="K63" s="794" t="str">
        <f>'Encoding Part 1'!B33</f>
        <v>GLORIFEL B. SAREÑO</v>
      </c>
      <c r="L63" s="794"/>
      <c r="M63" s="794"/>
      <c r="N63" s="794"/>
      <c r="O63" s="794"/>
      <c r="P63" s="794"/>
      <c r="Q63" s="319"/>
      <c r="R63" s="793" t="str">
        <f>'Encoding Part 1'!L33&amp;" "&amp;'Encoding Part 1'!Q33&amp;" "&amp;'Encoding Part 1'!G33</f>
        <v>NICKJON C. BABATU-ON</v>
      </c>
      <c r="S63" s="793"/>
      <c r="T63" s="793"/>
      <c r="U63" s="793"/>
      <c r="V63" s="300"/>
      <c r="W63" s="300"/>
      <c r="X63" s="300"/>
      <c r="Y63" s="300"/>
    </row>
    <row r="64" spans="1:25" ht="16.5" customHeight="1">
      <c r="A64" s="300"/>
      <c r="B64" s="777" t="s">
        <v>1007</v>
      </c>
      <c r="C64" s="777"/>
      <c r="D64" s="777"/>
      <c r="E64" s="777"/>
      <c r="F64" s="777"/>
      <c r="G64" s="777"/>
      <c r="H64" s="777"/>
      <c r="K64" s="776" t="s">
        <v>1045</v>
      </c>
      <c r="L64" s="776"/>
      <c r="M64" s="776"/>
      <c r="N64" s="776"/>
      <c r="O64" s="776"/>
      <c r="P64" s="776"/>
      <c r="Q64" s="281"/>
      <c r="R64" s="776" t="s">
        <v>1046</v>
      </c>
      <c r="S64" s="776"/>
      <c r="T64" s="776"/>
      <c r="U64" s="776"/>
      <c r="V64" s="300"/>
      <c r="W64" s="300"/>
      <c r="X64" s="300"/>
      <c r="Y64" s="300"/>
    </row>
    <row r="65" spans="1:25" ht="16.8">
      <c r="A65" s="300"/>
      <c r="B65" s="312"/>
      <c r="C65" s="313"/>
      <c r="D65" s="313"/>
      <c r="E65" s="313"/>
      <c r="F65" s="313"/>
      <c r="G65" s="313"/>
      <c r="H65" s="313"/>
      <c r="I65" s="313"/>
      <c r="J65" s="313"/>
      <c r="K65" s="313"/>
      <c r="L65" s="313"/>
      <c r="M65" s="313"/>
      <c r="N65" s="313"/>
      <c r="O65" s="313"/>
      <c r="P65" s="313"/>
      <c r="Q65" s="313"/>
      <c r="R65" s="313"/>
      <c r="S65" s="314"/>
      <c r="T65" s="315"/>
      <c r="U65" s="314"/>
      <c r="V65" s="300"/>
      <c r="W65" s="300"/>
      <c r="X65" s="300"/>
      <c r="Y65" s="300"/>
    </row>
    <row r="66" spans="1:25" ht="16.8">
      <c r="A66" s="300"/>
      <c r="B66" s="312"/>
      <c r="C66" s="313"/>
      <c r="D66" s="313"/>
      <c r="E66" s="313"/>
      <c r="F66" s="313"/>
      <c r="G66" s="313"/>
      <c r="H66" s="313"/>
      <c r="I66" s="313"/>
      <c r="J66" s="313"/>
      <c r="K66" s="313"/>
      <c r="L66" s="313"/>
      <c r="M66" s="313"/>
      <c r="N66" s="313"/>
      <c r="O66" s="313"/>
      <c r="P66" s="313"/>
      <c r="Q66" s="313"/>
      <c r="R66" s="313"/>
      <c r="S66" s="314"/>
      <c r="T66" s="315"/>
      <c r="U66" s="314"/>
      <c r="V66" s="300"/>
      <c r="W66" s="300"/>
      <c r="X66" s="300"/>
      <c r="Y66" s="300"/>
    </row>
    <row r="67" spans="1:25" ht="16.8">
      <c r="A67" s="300"/>
      <c r="B67" s="312"/>
      <c r="C67" s="313"/>
      <c r="D67" s="313"/>
      <c r="E67" s="313"/>
      <c r="F67" s="313"/>
      <c r="G67" s="313"/>
      <c r="H67" s="313"/>
      <c r="I67" s="313"/>
      <c r="J67" s="313"/>
      <c r="K67" s="313"/>
      <c r="L67" s="313"/>
      <c r="M67" s="313"/>
      <c r="N67" s="313"/>
      <c r="O67" s="313"/>
      <c r="P67" s="313"/>
      <c r="Q67" s="313"/>
      <c r="R67" s="313"/>
      <c r="S67" s="314"/>
      <c r="T67" s="315"/>
      <c r="U67" s="314"/>
      <c r="V67" s="300"/>
      <c r="W67" s="300"/>
      <c r="X67" s="300"/>
      <c r="Y67" s="300"/>
    </row>
    <row r="68" spans="1:25" ht="16.8">
      <c r="A68" s="300"/>
      <c r="B68" s="312"/>
      <c r="C68" s="313"/>
      <c r="D68" s="313"/>
      <c r="E68" s="313"/>
      <c r="F68" s="313"/>
      <c r="G68" s="313"/>
      <c r="H68" s="313"/>
      <c r="I68" s="313"/>
      <c r="J68" s="313"/>
      <c r="K68" s="313"/>
      <c r="L68" s="313"/>
      <c r="M68" s="313"/>
      <c r="N68" s="313"/>
      <c r="O68" s="313"/>
      <c r="P68" s="313"/>
      <c r="Q68" s="313"/>
      <c r="R68" s="313"/>
      <c r="S68" s="314"/>
      <c r="T68" s="315"/>
      <c r="U68" s="314"/>
      <c r="V68" s="300"/>
      <c r="W68" s="300"/>
      <c r="X68" s="300"/>
      <c r="Y68" s="300"/>
    </row>
    <row r="69" spans="1:25" ht="16.8">
      <c r="A69" s="300"/>
      <c r="B69" s="312"/>
      <c r="C69" s="313"/>
      <c r="D69" s="313"/>
      <c r="E69" s="313"/>
      <c r="F69" s="313"/>
      <c r="G69" s="313"/>
      <c r="H69" s="313"/>
      <c r="I69" s="313"/>
      <c r="J69" s="313"/>
      <c r="K69" s="313"/>
      <c r="L69" s="313"/>
      <c r="M69" s="313"/>
      <c r="N69" s="313"/>
      <c r="O69" s="313"/>
      <c r="P69" s="313"/>
      <c r="Q69" s="313"/>
      <c r="R69" s="313"/>
      <c r="S69" s="314"/>
      <c r="T69" s="315"/>
      <c r="U69" s="314"/>
      <c r="V69" s="300"/>
      <c r="W69" s="300"/>
      <c r="X69" s="300"/>
      <c r="Y69" s="300"/>
    </row>
    <row r="70" spans="1:25" ht="16.8">
      <c r="A70" s="300"/>
      <c r="B70" s="312"/>
      <c r="C70" s="313"/>
      <c r="D70" s="313"/>
      <c r="E70" s="313"/>
      <c r="F70" s="313"/>
      <c r="G70" s="313"/>
      <c r="H70" s="313"/>
      <c r="I70" s="313"/>
      <c r="J70" s="313"/>
      <c r="K70" s="313"/>
      <c r="L70" s="313"/>
      <c r="M70" s="313"/>
      <c r="N70" s="313"/>
      <c r="O70" s="313"/>
      <c r="P70" s="313"/>
      <c r="Q70" s="313"/>
      <c r="R70" s="313"/>
      <c r="S70" s="314"/>
      <c r="T70" s="315"/>
      <c r="U70" s="314"/>
      <c r="V70" s="300"/>
      <c r="W70" s="300"/>
      <c r="X70" s="300"/>
      <c r="Y70" s="300"/>
    </row>
    <row r="71" spans="1:25" ht="16.8">
      <c r="A71" s="300"/>
      <c r="B71" s="312"/>
      <c r="C71" s="313"/>
      <c r="D71" s="313"/>
      <c r="E71" s="313"/>
      <c r="F71" s="313"/>
      <c r="G71" s="313"/>
      <c r="H71" s="313"/>
      <c r="I71" s="313"/>
      <c r="J71" s="313"/>
      <c r="K71" s="313"/>
      <c r="L71" s="313"/>
      <c r="M71" s="313"/>
      <c r="N71" s="313"/>
      <c r="O71" s="313"/>
      <c r="P71" s="313"/>
      <c r="Q71" s="313"/>
      <c r="R71" s="313"/>
      <c r="S71" s="314"/>
      <c r="T71" s="315"/>
      <c r="U71" s="314"/>
      <c r="V71" s="300"/>
      <c r="W71" s="300"/>
      <c r="X71" s="300"/>
      <c r="Y71" s="300"/>
    </row>
    <row r="72" spans="1:25" ht="16.8">
      <c r="A72" s="300"/>
      <c r="B72" s="312"/>
      <c r="C72" s="313"/>
      <c r="D72" s="313"/>
      <c r="E72" s="313"/>
      <c r="F72" s="313"/>
      <c r="G72" s="313"/>
      <c r="H72" s="313"/>
      <c r="I72" s="313"/>
      <c r="J72" s="313"/>
      <c r="K72" s="313"/>
      <c r="L72" s="313"/>
      <c r="M72" s="313"/>
      <c r="N72" s="313"/>
      <c r="O72" s="313"/>
      <c r="P72" s="313"/>
      <c r="Q72" s="313"/>
      <c r="R72" s="313"/>
      <c r="S72" s="314"/>
      <c r="T72" s="315"/>
      <c r="U72" s="314"/>
      <c r="V72" s="300"/>
      <c r="W72" s="300"/>
      <c r="X72" s="300"/>
      <c r="Y72" s="300"/>
    </row>
    <row r="73" spans="1:25" ht="16.8">
      <c r="A73" s="300"/>
      <c r="B73" s="312"/>
      <c r="C73" s="313"/>
      <c r="D73" s="313"/>
      <c r="E73" s="313"/>
      <c r="F73" s="313"/>
      <c r="G73" s="313"/>
      <c r="H73" s="313"/>
      <c r="I73" s="313"/>
      <c r="J73" s="313"/>
      <c r="K73" s="313"/>
      <c r="L73" s="313"/>
      <c r="M73" s="313"/>
      <c r="N73" s="313"/>
      <c r="O73" s="313"/>
      <c r="P73" s="313"/>
      <c r="Q73" s="313"/>
      <c r="R73" s="313"/>
      <c r="S73" s="314"/>
      <c r="T73" s="315"/>
      <c r="U73" s="314"/>
      <c r="V73" s="300"/>
      <c r="W73" s="300"/>
      <c r="X73" s="300"/>
      <c r="Y73" s="300"/>
    </row>
    <row r="74" spans="1:25" ht="16.8">
      <c r="A74" s="300"/>
      <c r="B74" s="312"/>
      <c r="C74" s="313"/>
      <c r="D74" s="313"/>
      <c r="E74" s="313"/>
      <c r="F74" s="313"/>
      <c r="G74" s="313"/>
      <c r="H74" s="313"/>
      <c r="I74" s="313"/>
      <c r="J74" s="313"/>
      <c r="K74" s="313"/>
      <c r="L74" s="313"/>
      <c r="M74" s="313"/>
      <c r="N74" s="313"/>
      <c r="O74" s="313"/>
      <c r="P74" s="313"/>
      <c r="Q74" s="313"/>
      <c r="R74" s="313"/>
      <c r="S74" s="314"/>
      <c r="T74" s="315"/>
      <c r="U74" s="314"/>
      <c r="V74" s="300"/>
      <c r="W74" s="300"/>
      <c r="X74" s="300"/>
      <c r="Y74" s="300"/>
    </row>
    <row r="75" spans="1:25" ht="16.8">
      <c r="A75" s="300"/>
      <c r="B75" s="312"/>
      <c r="C75" s="313"/>
      <c r="D75" s="313"/>
      <c r="E75" s="313"/>
      <c r="F75" s="313"/>
      <c r="G75" s="313"/>
      <c r="H75" s="313"/>
      <c r="I75" s="313"/>
      <c r="J75" s="313"/>
      <c r="K75" s="313"/>
      <c r="L75" s="313"/>
      <c r="M75" s="313"/>
      <c r="N75" s="313"/>
      <c r="O75" s="313"/>
      <c r="P75" s="313"/>
      <c r="Q75" s="313"/>
      <c r="R75" s="313"/>
      <c r="S75" s="314"/>
      <c r="T75" s="315"/>
      <c r="U75" s="314"/>
      <c r="V75" s="300"/>
      <c r="W75" s="300"/>
      <c r="X75" s="300"/>
      <c r="Y75" s="300"/>
    </row>
    <row r="76" spans="1:25" ht="16.8">
      <c r="A76" s="300"/>
      <c r="B76" s="312"/>
      <c r="C76" s="313"/>
      <c r="D76" s="313"/>
      <c r="E76" s="313"/>
      <c r="F76" s="313"/>
      <c r="G76" s="313"/>
      <c r="H76" s="313"/>
      <c r="I76" s="313"/>
      <c r="J76" s="313"/>
      <c r="K76" s="313"/>
      <c r="L76" s="313"/>
      <c r="M76" s="313"/>
      <c r="N76" s="313"/>
      <c r="O76" s="313"/>
      <c r="P76" s="313"/>
      <c r="Q76" s="313"/>
      <c r="R76" s="313"/>
      <c r="S76" s="314"/>
      <c r="T76" s="315"/>
      <c r="U76" s="314"/>
      <c r="V76" s="300"/>
      <c r="W76" s="300"/>
      <c r="X76" s="300"/>
      <c r="Y76" s="300"/>
    </row>
    <row r="77" spans="1:25" ht="16.8">
      <c r="A77" s="300"/>
      <c r="B77" s="312"/>
      <c r="C77" s="313"/>
      <c r="D77" s="313"/>
      <c r="E77" s="313"/>
      <c r="F77" s="313"/>
      <c r="G77" s="313"/>
      <c r="H77" s="313"/>
      <c r="I77" s="313"/>
      <c r="J77" s="313"/>
      <c r="K77" s="313"/>
      <c r="L77" s="313"/>
      <c r="M77" s="313"/>
      <c r="N77" s="313"/>
      <c r="O77" s="313"/>
      <c r="P77" s="313"/>
      <c r="Q77" s="313"/>
      <c r="R77" s="313"/>
      <c r="S77" s="314"/>
      <c r="T77" s="315"/>
      <c r="U77" s="314"/>
      <c r="V77" s="300"/>
      <c r="W77" s="300"/>
      <c r="X77" s="300"/>
      <c r="Y77" s="300"/>
    </row>
    <row r="78" spans="1:25" ht="16.8">
      <c r="A78" s="300"/>
      <c r="B78" s="312"/>
      <c r="C78" s="313"/>
      <c r="D78" s="313"/>
      <c r="E78" s="313"/>
      <c r="F78" s="313"/>
      <c r="G78" s="313"/>
      <c r="H78" s="313"/>
      <c r="I78" s="313"/>
      <c r="J78" s="313"/>
      <c r="K78" s="313"/>
      <c r="L78" s="313"/>
      <c r="M78" s="313"/>
      <c r="N78" s="313"/>
      <c r="O78" s="313"/>
      <c r="P78" s="313"/>
      <c r="Q78" s="313"/>
      <c r="R78" s="313"/>
      <c r="S78" s="314"/>
      <c r="T78" s="315"/>
      <c r="U78" s="314"/>
      <c r="V78" s="300"/>
      <c r="W78" s="300"/>
      <c r="X78" s="300"/>
      <c r="Y78" s="300"/>
    </row>
    <row r="79" spans="1:25" ht="16.8">
      <c r="A79" s="300"/>
      <c r="B79" s="312"/>
      <c r="C79" s="313"/>
      <c r="D79" s="313"/>
      <c r="E79" s="313"/>
      <c r="F79" s="313"/>
      <c r="G79" s="313"/>
      <c r="H79" s="313"/>
      <c r="I79" s="313"/>
      <c r="J79" s="313"/>
      <c r="K79" s="313"/>
      <c r="L79" s="313"/>
      <c r="M79" s="313"/>
      <c r="N79" s="313"/>
      <c r="O79" s="313"/>
      <c r="P79" s="313"/>
      <c r="Q79" s="313"/>
      <c r="R79" s="313"/>
      <c r="S79" s="314"/>
      <c r="T79" s="315"/>
      <c r="U79" s="314"/>
      <c r="V79" s="300"/>
      <c r="W79" s="300"/>
      <c r="X79" s="300"/>
      <c r="Y79" s="300"/>
    </row>
    <row r="80" spans="1:25" ht="16.8">
      <c r="A80" s="300"/>
      <c r="B80" s="312"/>
      <c r="C80" s="313"/>
      <c r="D80" s="313"/>
      <c r="E80" s="313"/>
      <c r="F80" s="313"/>
      <c r="G80" s="313"/>
      <c r="H80" s="313"/>
      <c r="I80" s="313"/>
      <c r="J80" s="313"/>
      <c r="K80" s="313"/>
      <c r="L80" s="313"/>
      <c r="M80" s="313"/>
      <c r="N80" s="313"/>
      <c r="O80" s="313"/>
      <c r="P80" s="313"/>
      <c r="Q80" s="313"/>
      <c r="R80" s="313"/>
      <c r="S80" s="314"/>
      <c r="T80" s="315"/>
      <c r="U80" s="314"/>
      <c r="V80" s="300"/>
      <c r="W80" s="300"/>
      <c r="X80" s="300"/>
      <c r="Y80" s="300"/>
    </row>
    <row r="81" spans="1:25" ht="16.8">
      <c r="A81" s="300"/>
      <c r="B81" s="312"/>
      <c r="C81" s="313"/>
      <c r="D81" s="313"/>
      <c r="E81" s="313"/>
      <c r="F81" s="313"/>
      <c r="G81" s="313"/>
      <c r="H81" s="313"/>
      <c r="I81" s="313"/>
      <c r="J81" s="313"/>
      <c r="K81" s="313"/>
      <c r="L81" s="313"/>
      <c r="M81" s="313"/>
      <c r="N81" s="313"/>
      <c r="O81" s="313"/>
      <c r="P81" s="313"/>
      <c r="Q81" s="313"/>
      <c r="R81" s="313"/>
      <c r="S81" s="314"/>
      <c r="T81" s="315"/>
      <c r="U81" s="314"/>
      <c r="V81" s="300"/>
      <c r="W81" s="300"/>
      <c r="X81" s="300"/>
      <c r="Y81" s="300"/>
    </row>
    <row r="82" spans="1:25" ht="16.8">
      <c r="A82" s="300"/>
      <c r="B82" s="312"/>
      <c r="C82" s="313"/>
      <c r="D82" s="313"/>
      <c r="E82" s="313"/>
      <c r="F82" s="313"/>
      <c r="G82" s="313"/>
      <c r="H82" s="313"/>
      <c r="I82" s="313"/>
      <c r="J82" s="313"/>
      <c r="K82" s="313"/>
      <c r="L82" s="313"/>
      <c r="M82" s="313"/>
      <c r="N82" s="313"/>
      <c r="O82" s="313"/>
      <c r="P82" s="313"/>
      <c r="Q82" s="313"/>
      <c r="R82" s="313"/>
      <c r="S82" s="314"/>
      <c r="T82" s="315"/>
      <c r="U82" s="314"/>
      <c r="V82" s="300"/>
      <c r="W82" s="300"/>
      <c r="X82" s="300"/>
      <c r="Y82" s="300"/>
    </row>
    <row r="83" spans="1:25" ht="16.8">
      <c r="A83" s="300"/>
      <c r="B83" s="312"/>
      <c r="C83" s="313"/>
      <c r="D83" s="313"/>
      <c r="E83" s="313"/>
      <c r="F83" s="313"/>
      <c r="G83" s="313"/>
      <c r="H83" s="313"/>
      <c r="I83" s="313"/>
      <c r="J83" s="313"/>
      <c r="K83" s="313"/>
      <c r="L83" s="313"/>
      <c r="M83" s="313"/>
      <c r="N83" s="313"/>
      <c r="O83" s="313"/>
      <c r="P83" s="313"/>
      <c r="Q83" s="313"/>
      <c r="R83" s="313"/>
      <c r="S83" s="314"/>
      <c r="T83" s="315"/>
      <c r="U83" s="314"/>
      <c r="V83" s="300"/>
      <c r="W83" s="300"/>
      <c r="X83" s="300"/>
      <c r="Y83" s="300"/>
    </row>
    <row r="84" spans="1:25" ht="16.8">
      <c r="A84" s="300"/>
      <c r="B84" s="312"/>
      <c r="C84" s="313"/>
      <c r="D84" s="313"/>
      <c r="E84" s="313"/>
      <c r="F84" s="313"/>
      <c r="G84" s="313"/>
      <c r="H84" s="313"/>
      <c r="I84" s="313"/>
      <c r="J84" s="313"/>
      <c r="K84" s="313"/>
      <c r="L84" s="313"/>
      <c r="M84" s="313"/>
      <c r="N84" s="313"/>
      <c r="O84" s="313"/>
      <c r="P84" s="313"/>
      <c r="Q84" s="313"/>
      <c r="R84" s="313"/>
      <c r="S84" s="314"/>
      <c r="T84" s="315"/>
      <c r="U84" s="314"/>
      <c r="V84" s="300"/>
      <c r="W84" s="300"/>
      <c r="X84" s="300"/>
      <c r="Y84" s="300"/>
    </row>
    <row r="85" spans="1:25" ht="16.8">
      <c r="A85" s="300"/>
      <c r="B85" s="312"/>
      <c r="C85" s="313"/>
      <c r="D85" s="313"/>
      <c r="E85" s="313"/>
      <c r="F85" s="313"/>
      <c r="G85" s="313"/>
      <c r="H85" s="313"/>
      <c r="I85" s="313"/>
      <c r="J85" s="313"/>
      <c r="K85" s="313"/>
      <c r="L85" s="313"/>
      <c r="M85" s="313"/>
      <c r="N85" s="313"/>
      <c r="O85" s="313"/>
      <c r="P85" s="313"/>
      <c r="Q85" s="313"/>
      <c r="R85" s="313"/>
      <c r="S85" s="314"/>
      <c r="T85" s="315"/>
      <c r="U85" s="314"/>
      <c r="V85" s="300"/>
      <c r="W85" s="300"/>
      <c r="X85" s="300"/>
      <c r="Y85" s="300"/>
    </row>
    <row r="86" spans="1:25" ht="16.8">
      <c r="A86" s="300"/>
      <c r="B86" s="312"/>
      <c r="C86" s="313"/>
      <c r="D86" s="313"/>
      <c r="E86" s="313"/>
      <c r="F86" s="313"/>
      <c r="G86" s="313"/>
      <c r="H86" s="313"/>
      <c r="I86" s="313"/>
      <c r="J86" s="313"/>
      <c r="K86" s="313"/>
      <c r="L86" s="313"/>
      <c r="M86" s="313"/>
      <c r="N86" s="313"/>
      <c r="O86" s="313"/>
      <c r="P86" s="313"/>
      <c r="Q86" s="313"/>
      <c r="R86" s="313"/>
      <c r="S86" s="314"/>
      <c r="T86" s="315"/>
      <c r="U86" s="314"/>
      <c r="V86" s="300"/>
      <c r="W86" s="300"/>
      <c r="X86" s="300"/>
      <c r="Y86" s="300"/>
    </row>
    <row r="87" spans="1:25" ht="16.8">
      <c r="A87" s="300"/>
      <c r="B87" s="312"/>
      <c r="C87" s="313"/>
      <c r="D87" s="313"/>
      <c r="E87" s="313"/>
      <c r="F87" s="313"/>
      <c r="G87" s="313"/>
      <c r="H87" s="313"/>
      <c r="I87" s="313"/>
      <c r="J87" s="313"/>
      <c r="K87" s="313"/>
      <c r="L87" s="313"/>
      <c r="M87" s="313"/>
      <c r="N87" s="313"/>
      <c r="O87" s="313"/>
      <c r="P87" s="313"/>
      <c r="Q87" s="313"/>
      <c r="R87" s="313"/>
      <c r="S87" s="314"/>
      <c r="T87" s="315"/>
      <c r="U87" s="314"/>
      <c r="V87" s="300"/>
      <c r="W87" s="300"/>
      <c r="X87" s="300"/>
      <c r="Y87" s="300"/>
    </row>
    <row r="88" spans="1:25" ht="16.8">
      <c r="A88" s="300"/>
      <c r="B88" s="312"/>
      <c r="C88" s="313"/>
      <c r="D88" s="313"/>
      <c r="E88" s="313"/>
      <c r="F88" s="313"/>
      <c r="G88" s="313"/>
      <c r="H88" s="313"/>
      <c r="I88" s="313"/>
      <c r="J88" s="313"/>
      <c r="K88" s="313"/>
      <c r="L88" s="313"/>
      <c r="M88" s="313"/>
      <c r="N88" s="313"/>
      <c r="O88" s="313"/>
      <c r="P88" s="313"/>
      <c r="Q88" s="313"/>
      <c r="R88" s="313"/>
      <c r="S88" s="314"/>
      <c r="T88" s="315"/>
      <c r="U88" s="314"/>
      <c r="V88" s="300"/>
      <c r="W88" s="300"/>
      <c r="X88" s="300"/>
      <c r="Y88" s="300"/>
    </row>
    <row r="89" spans="1:25" ht="16.8">
      <c r="A89" s="300"/>
      <c r="B89" s="312"/>
      <c r="C89" s="313"/>
      <c r="D89" s="313"/>
      <c r="E89" s="313"/>
      <c r="F89" s="313"/>
      <c r="G89" s="313"/>
      <c r="H89" s="313"/>
      <c r="I89" s="313"/>
      <c r="J89" s="313"/>
      <c r="K89" s="313"/>
      <c r="L89" s="313"/>
      <c r="M89" s="313"/>
      <c r="N89" s="313"/>
      <c r="O89" s="313"/>
      <c r="P89" s="313"/>
      <c r="Q89" s="313"/>
      <c r="R89" s="313"/>
      <c r="S89" s="314"/>
      <c r="T89" s="315"/>
      <c r="U89" s="314"/>
      <c r="V89" s="300"/>
      <c r="W89" s="300"/>
      <c r="X89" s="300"/>
      <c r="Y89" s="300"/>
    </row>
    <row r="90" spans="1:25" ht="16.8">
      <c r="A90" s="300"/>
      <c r="B90" s="312"/>
      <c r="C90" s="313"/>
      <c r="D90" s="313"/>
      <c r="E90" s="313"/>
      <c r="F90" s="313"/>
      <c r="G90" s="313"/>
      <c r="H90" s="313"/>
      <c r="I90" s="313"/>
      <c r="J90" s="313"/>
      <c r="K90" s="313"/>
      <c r="L90" s="313"/>
      <c r="M90" s="313"/>
      <c r="N90" s="313"/>
      <c r="O90" s="313"/>
      <c r="P90" s="313"/>
      <c r="Q90" s="313"/>
      <c r="R90" s="313"/>
      <c r="S90" s="314"/>
      <c r="T90" s="315"/>
      <c r="U90" s="314"/>
      <c r="V90" s="300"/>
      <c r="W90" s="300"/>
      <c r="X90" s="300"/>
      <c r="Y90" s="300"/>
    </row>
    <row r="91" spans="1:25" ht="16.8">
      <c r="A91" s="300"/>
      <c r="B91" s="312"/>
      <c r="C91" s="313"/>
      <c r="D91" s="313"/>
      <c r="E91" s="313"/>
      <c r="F91" s="313"/>
      <c r="G91" s="313"/>
      <c r="H91" s="313"/>
      <c r="I91" s="313"/>
      <c r="J91" s="313"/>
      <c r="K91" s="313"/>
      <c r="L91" s="313"/>
      <c r="M91" s="313"/>
      <c r="N91" s="313"/>
      <c r="O91" s="313"/>
      <c r="P91" s="313"/>
      <c r="Q91" s="313"/>
      <c r="R91" s="313"/>
      <c r="S91" s="314"/>
      <c r="T91" s="315"/>
      <c r="U91" s="314"/>
      <c r="V91" s="300"/>
      <c r="W91" s="300"/>
      <c r="X91" s="300"/>
      <c r="Y91" s="300"/>
    </row>
    <row r="92" spans="1:25" ht="15" customHeight="1">
      <c r="A92" s="300"/>
      <c r="B92" s="300"/>
      <c r="C92" s="300"/>
      <c r="D92" s="300"/>
      <c r="E92" s="300"/>
      <c r="F92" s="300"/>
      <c r="G92" s="300"/>
      <c r="H92" s="300"/>
      <c r="I92" s="300"/>
      <c r="J92" s="300"/>
      <c r="K92" s="300"/>
      <c r="L92" s="300"/>
      <c r="M92" s="300"/>
      <c r="N92" s="300"/>
      <c r="O92" s="300"/>
      <c r="P92" s="300"/>
      <c r="Q92" s="300"/>
      <c r="R92" s="300"/>
      <c r="S92" s="300"/>
      <c r="T92" s="300"/>
      <c r="U92" s="300"/>
      <c r="V92" s="300"/>
      <c r="W92" s="300"/>
      <c r="X92" s="300"/>
      <c r="Y92" s="300"/>
    </row>
    <row r="93" spans="1:25" ht="15" customHeight="1">
      <c r="A93" s="300"/>
      <c r="B93" s="300"/>
      <c r="C93" s="300"/>
      <c r="D93" s="300"/>
      <c r="E93" s="300"/>
      <c r="F93" s="300"/>
      <c r="G93" s="300"/>
      <c r="H93" s="300"/>
      <c r="I93" s="300"/>
      <c r="J93" s="300"/>
      <c r="K93" s="300"/>
      <c r="L93" s="300"/>
      <c r="M93" s="300"/>
      <c r="N93" s="300"/>
      <c r="O93" s="300"/>
      <c r="P93" s="300"/>
      <c r="Q93" s="300"/>
      <c r="R93" s="300"/>
      <c r="S93" s="300"/>
      <c r="T93" s="300"/>
      <c r="U93" s="300"/>
      <c r="V93" s="300"/>
      <c r="W93" s="300"/>
      <c r="X93" s="300"/>
      <c r="Y93" s="300"/>
    </row>
    <row r="94" spans="1:25" ht="15" customHeight="1">
      <c r="A94" s="300"/>
      <c r="B94" s="300"/>
      <c r="C94" s="300"/>
      <c r="D94" s="300"/>
      <c r="E94" s="300"/>
      <c r="F94" s="300"/>
      <c r="G94" s="300"/>
      <c r="H94" s="300"/>
      <c r="I94" s="300"/>
      <c r="J94" s="300"/>
      <c r="K94" s="300"/>
      <c r="L94" s="300"/>
      <c r="M94" s="300"/>
      <c r="N94" s="300"/>
      <c r="O94" s="300"/>
      <c r="P94" s="300"/>
      <c r="Q94" s="300"/>
      <c r="R94" s="300"/>
      <c r="S94" s="300"/>
      <c r="T94" s="300"/>
      <c r="U94" s="300"/>
      <c r="V94" s="300"/>
      <c r="W94" s="300"/>
      <c r="X94" s="300"/>
      <c r="Y94" s="300"/>
    </row>
    <row r="95" spans="1:25" ht="15" customHeight="1">
      <c r="A95" s="300"/>
      <c r="B95" s="300"/>
      <c r="C95" s="300"/>
      <c r="D95" s="300"/>
      <c r="E95" s="300"/>
      <c r="F95" s="300"/>
      <c r="G95" s="300"/>
      <c r="H95" s="300"/>
      <c r="I95" s="300"/>
      <c r="J95" s="300"/>
      <c r="K95" s="300"/>
      <c r="L95" s="300"/>
      <c r="M95" s="300"/>
      <c r="N95" s="300"/>
      <c r="O95" s="300"/>
      <c r="P95" s="300"/>
      <c r="Q95" s="300"/>
      <c r="R95" s="300"/>
      <c r="S95" s="300"/>
      <c r="T95" s="300"/>
      <c r="U95" s="300"/>
      <c r="V95" s="300"/>
      <c r="W95" s="300"/>
      <c r="X95" s="300"/>
      <c r="Y95" s="300"/>
    </row>
    <row r="96" spans="1:25" ht="15" customHeight="1">
      <c r="A96" s="300"/>
      <c r="B96" s="300"/>
      <c r="C96" s="300"/>
      <c r="D96" s="300"/>
      <c r="E96" s="300"/>
      <c r="F96" s="300"/>
      <c r="G96" s="300"/>
      <c r="H96" s="300"/>
      <c r="I96" s="300"/>
      <c r="J96" s="300"/>
      <c r="K96" s="300"/>
      <c r="L96" s="300"/>
      <c r="M96" s="300"/>
      <c r="N96" s="300"/>
      <c r="O96" s="300"/>
      <c r="P96" s="300"/>
      <c r="Q96" s="300"/>
      <c r="R96" s="300"/>
      <c r="S96" s="300"/>
      <c r="T96" s="300"/>
      <c r="U96" s="300"/>
      <c r="V96" s="300"/>
      <c r="W96" s="300"/>
      <c r="X96" s="300"/>
      <c r="Y96" s="300"/>
    </row>
    <row r="97" spans="1:25" ht="15" customHeight="1">
      <c r="A97" s="300"/>
      <c r="B97" s="300"/>
      <c r="C97" s="300"/>
      <c r="D97" s="300"/>
      <c r="E97" s="300"/>
      <c r="F97" s="300"/>
      <c r="G97" s="300"/>
      <c r="H97" s="300"/>
      <c r="I97" s="300"/>
      <c r="J97" s="300"/>
      <c r="K97" s="300"/>
      <c r="L97" s="300"/>
      <c r="M97" s="300"/>
      <c r="N97" s="300"/>
      <c r="O97" s="300"/>
      <c r="P97" s="300"/>
      <c r="Q97" s="300"/>
      <c r="R97" s="300"/>
      <c r="S97" s="300"/>
      <c r="T97" s="300"/>
      <c r="U97" s="300"/>
      <c r="V97" s="300"/>
      <c r="W97" s="300"/>
      <c r="X97" s="300"/>
      <c r="Y97" s="300"/>
    </row>
    <row r="98" spans="1:25" ht="15" customHeight="1">
      <c r="A98" s="300"/>
      <c r="B98" s="300"/>
      <c r="C98" s="300"/>
      <c r="D98" s="300"/>
      <c r="E98" s="300"/>
      <c r="F98" s="300"/>
      <c r="G98" s="300"/>
      <c r="H98" s="300"/>
      <c r="I98" s="300"/>
      <c r="J98" s="300"/>
      <c r="K98" s="300"/>
      <c r="L98" s="300"/>
      <c r="M98" s="300"/>
      <c r="N98" s="300"/>
      <c r="O98" s="300"/>
      <c r="P98" s="300"/>
      <c r="Q98" s="300"/>
      <c r="R98" s="300"/>
      <c r="S98" s="300"/>
      <c r="T98" s="300"/>
      <c r="U98" s="300"/>
      <c r="V98" s="300"/>
      <c r="W98" s="300"/>
      <c r="X98" s="300"/>
      <c r="Y98" s="300"/>
    </row>
    <row r="99" spans="1:25" ht="15" customHeight="1">
      <c r="A99" s="300"/>
      <c r="B99" s="300"/>
      <c r="C99" s="300"/>
      <c r="D99" s="300"/>
      <c r="E99" s="300"/>
      <c r="F99" s="300"/>
      <c r="G99" s="300"/>
      <c r="H99" s="300"/>
      <c r="I99" s="300"/>
      <c r="J99" s="300"/>
      <c r="K99" s="300"/>
      <c r="L99" s="300"/>
      <c r="M99" s="300"/>
      <c r="N99" s="300"/>
      <c r="O99" s="300"/>
      <c r="P99" s="300"/>
      <c r="Q99" s="300"/>
      <c r="R99" s="300"/>
      <c r="S99" s="300"/>
      <c r="T99" s="300"/>
      <c r="U99" s="300"/>
      <c r="V99" s="300"/>
      <c r="W99" s="300"/>
      <c r="X99" s="300"/>
      <c r="Y99" s="300"/>
    </row>
    <row r="100" spans="1:25" ht="15" customHeight="1">
      <c r="A100" s="300"/>
      <c r="B100" s="300"/>
      <c r="C100" s="300"/>
      <c r="D100" s="300"/>
      <c r="E100" s="300"/>
      <c r="F100" s="300"/>
      <c r="G100" s="300"/>
      <c r="H100" s="300"/>
      <c r="I100" s="300"/>
      <c r="J100" s="300"/>
      <c r="K100" s="300"/>
      <c r="L100" s="300"/>
      <c r="M100" s="300"/>
      <c r="N100" s="300"/>
      <c r="O100" s="300"/>
      <c r="P100" s="300"/>
      <c r="Q100" s="300"/>
      <c r="R100" s="300"/>
      <c r="S100" s="300"/>
      <c r="T100" s="300"/>
      <c r="U100" s="300"/>
      <c r="V100" s="300"/>
      <c r="W100" s="300"/>
      <c r="X100" s="300"/>
      <c r="Y100" s="300"/>
    </row>
    <row r="101" spans="1:25" ht="15" customHeight="1">
      <c r="A101" s="300"/>
      <c r="B101" s="300"/>
      <c r="C101" s="300"/>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row>
    <row r="102" spans="1:25" ht="15" customHeight="1">
      <c r="A102" s="300"/>
      <c r="B102" s="300"/>
      <c r="C102" s="300"/>
      <c r="D102" s="300"/>
      <c r="E102" s="300"/>
      <c r="F102" s="300"/>
      <c r="G102" s="300"/>
      <c r="H102" s="300"/>
      <c r="I102" s="300"/>
      <c r="J102" s="300"/>
      <c r="K102" s="300"/>
      <c r="L102" s="300"/>
      <c r="M102" s="300"/>
      <c r="N102" s="300"/>
      <c r="O102" s="300"/>
      <c r="P102" s="300"/>
      <c r="Q102" s="300"/>
      <c r="R102" s="300"/>
      <c r="S102" s="300"/>
      <c r="T102" s="300"/>
      <c r="U102" s="300"/>
      <c r="V102" s="300"/>
      <c r="W102" s="300"/>
      <c r="X102" s="300"/>
      <c r="Y102" s="300"/>
    </row>
    <row r="103" spans="1:25" ht="15" customHeight="1">
      <c r="A103" s="300"/>
      <c r="B103" s="300"/>
      <c r="C103" s="300"/>
      <c r="D103" s="300"/>
      <c r="E103" s="300"/>
      <c r="F103" s="300"/>
      <c r="G103" s="300"/>
      <c r="H103" s="300"/>
      <c r="I103" s="300"/>
      <c r="J103" s="300"/>
      <c r="K103" s="300"/>
      <c r="L103" s="300"/>
      <c r="M103" s="300"/>
      <c r="N103" s="300"/>
      <c r="O103" s="300"/>
      <c r="P103" s="300"/>
      <c r="Q103" s="300"/>
      <c r="R103" s="300"/>
      <c r="S103" s="300"/>
      <c r="T103" s="300"/>
      <c r="U103" s="300"/>
      <c r="V103" s="300"/>
      <c r="W103" s="300"/>
      <c r="X103" s="300"/>
      <c r="Y103" s="300"/>
    </row>
    <row r="104" spans="1:25" ht="15" customHeight="1">
      <c r="A104" s="300"/>
      <c r="B104" s="300"/>
      <c r="C104" s="300"/>
      <c r="D104" s="300"/>
      <c r="E104" s="300"/>
      <c r="F104" s="300"/>
      <c r="G104" s="300"/>
      <c r="H104" s="300"/>
      <c r="I104" s="300"/>
      <c r="J104" s="300"/>
      <c r="K104" s="300"/>
      <c r="L104" s="300"/>
      <c r="M104" s="300"/>
      <c r="N104" s="300"/>
      <c r="O104" s="300"/>
      <c r="P104" s="300"/>
      <c r="Q104" s="300"/>
      <c r="R104" s="300"/>
      <c r="S104" s="300"/>
      <c r="T104" s="300"/>
      <c r="U104" s="300"/>
      <c r="V104" s="300"/>
      <c r="W104" s="300"/>
      <c r="X104" s="300"/>
      <c r="Y104" s="300"/>
    </row>
    <row r="105" spans="1:25" ht="15" customHeight="1">
      <c r="A105" s="300"/>
      <c r="B105" s="300"/>
      <c r="C105" s="300"/>
      <c r="D105" s="300"/>
      <c r="E105" s="300"/>
      <c r="F105" s="300"/>
      <c r="G105" s="300"/>
      <c r="H105" s="300"/>
      <c r="I105" s="300"/>
      <c r="J105" s="300"/>
      <c r="K105" s="300"/>
      <c r="L105" s="300"/>
      <c r="M105" s="300"/>
      <c r="N105" s="300"/>
      <c r="O105" s="300"/>
      <c r="P105" s="300"/>
      <c r="Q105" s="300"/>
      <c r="R105" s="300"/>
      <c r="S105" s="300"/>
      <c r="T105" s="300"/>
      <c r="U105" s="300"/>
      <c r="V105" s="300"/>
      <c r="W105" s="300"/>
      <c r="X105" s="300"/>
      <c r="Y105" s="300"/>
    </row>
    <row r="106" spans="1:25" ht="15" customHeight="1">
      <c r="A106" s="300"/>
      <c r="B106" s="300"/>
      <c r="C106" s="300"/>
      <c r="D106" s="300"/>
      <c r="E106" s="300"/>
      <c r="F106" s="300"/>
      <c r="G106" s="300"/>
      <c r="H106" s="300"/>
      <c r="I106" s="300"/>
      <c r="J106" s="300"/>
      <c r="K106" s="300"/>
      <c r="L106" s="300"/>
      <c r="M106" s="300"/>
      <c r="N106" s="300"/>
      <c r="O106" s="300"/>
      <c r="P106" s="300"/>
      <c r="Q106" s="300"/>
      <c r="R106" s="300"/>
      <c r="S106" s="300"/>
      <c r="T106" s="300"/>
      <c r="U106" s="300"/>
      <c r="V106" s="300"/>
      <c r="W106" s="300"/>
      <c r="X106" s="300"/>
      <c r="Y106" s="300"/>
    </row>
    <row r="107" spans="1:25" ht="15" customHeight="1">
      <c r="A107" s="300"/>
      <c r="B107" s="300"/>
      <c r="C107" s="300"/>
      <c r="D107" s="300"/>
      <c r="E107" s="300"/>
      <c r="F107" s="300"/>
      <c r="G107" s="300"/>
      <c r="H107" s="300"/>
      <c r="I107" s="300"/>
      <c r="J107" s="300"/>
      <c r="K107" s="300"/>
      <c r="L107" s="300"/>
      <c r="M107" s="300"/>
      <c r="N107" s="300"/>
      <c r="O107" s="300"/>
      <c r="P107" s="300"/>
      <c r="Q107" s="300"/>
      <c r="R107" s="300"/>
      <c r="S107" s="300"/>
      <c r="T107" s="300"/>
      <c r="U107" s="300"/>
      <c r="V107" s="300"/>
      <c r="W107" s="300"/>
      <c r="X107" s="300"/>
      <c r="Y107" s="300"/>
    </row>
    <row r="108" spans="1:25" ht="15" customHeight="1">
      <c r="A108" s="300"/>
      <c r="B108" s="300"/>
      <c r="C108" s="300"/>
      <c r="D108" s="300"/>
      <c r="E108" s="300"/>
      <c r="F108" s="300"/>
      <c r="G108" s="300"/>
      <c r="H108" s="300"/>
      <c r="I108" s="300"/>
      <c r="J108" s="300"/>
      <c r="K108" s="300"/>
      <c r="L108" s="300"/>
      <c r="M108" s="300"/>
      <c r="N108" s="300"/>
      <c r="O108" s="300"/>
      <c r="P108" s="300"/>
      <c r="Q108" s="300"/>
      <c r="R108" s="300"/>
      <c r="S108" s="300"/>
      <c r="T108" s="300"/>
      <c r="U108" s="300"/>
      <c r="V108" s="300"/>
      <c r="W108" s="300"/>
      <c r="X108" s="300"/>
      <c r="Y108" s="300"/>
    </row>
    <row r="109" spans="1:25" ht="15" customHeight="1">
      <c r="A109" s="300"/>
      <c r="B109" s="300"/>
      <c r="C109" s="300"/>
      <c r="D109" s="300"/>
      <c r="E109" s="300"/>
      <c r="F109" s="300"/>
      <c r="G109" s="300"/>
      <c r="H109" s="300"/>
      <c r="I109" s="300"/>
      <c r="J109" s="300"/>
      <c r="K109" s="300"/>
      <c r="L109" s="300"/>
      <c r="M109" s="300"/>
      <c r="N109" s="300"/>
      <c r="O109" s="300"/>
      <c r="P109" s="300"/>
      <c r="Q109" s="300"/>
      <c r="R109" s="300"/>
      <c r="S109" s="300"/>
      <c r="T109" s="300"/>
      <c r="U109" s="300"/>
      <c r="V109" s="300"/>
      <c r="W109" s="300"/>
      <c r="X109" s="300"/>
      <c r="Y109" s="300"/>
    </row>
    <row r="110" spans="1:25" ht="15" customHeight="1">
      <c r="A110" s="300"/>
      <c r="B110" s="300"/>
      <c r="C110" s="300"/>
      <c r="D110" s="300"/>
      <c r="E110" s="300"/>
      <c r="F110" s="300"/>
      <c r="G110" s="300"/>
      <c r="H110" s="300"/>
      <c r="I110" s="300"/>
      <c r="J110" s="300"/>
      <c r="K110" s="300"/>
      <c r="L110" s="300"/>
      <c r="M110" s="300"/>
      <c r="N110" s="300"/>
      <c r="O110" s="300"/>
      <c r="P110" s="300"/>
      <c r="Q110" s="300"/>
      <c r="R110" s="300"/>
      <c r="S110" s="300"/>
      <c r="T110" s="300"/>
      <c r="U110" s="300"/>
      <c r="V110" s="300"/>
      <c r="W110" s="300"/>
      <c r="X110" s="300"/>
      <c r="Y110" s="300"/>
    </row>
    <row r="111" spans="1:25" ht="15" customHeight="1">
      <c r="A111" s="300"/>
      <c r="B111" s="300"/>
      <c r="C111" s="300"/>
      <c r="D111" s="300"/>
      <c r="E111" s="300"/>
      <c r="F111" s="300"/>
      <c r="G111" s="300"/>
      <c r="H111" s="300"/>
      <c r="I111" s="300"/>
      <c r="J111" s="300"/>
      <c r="K111" s="300"/>
      <c r="L111" s="300"/>
      <c r="M111" s="300"/>
      <c r="N111" s="300"/>
      <c r="O111" s="300"/>
      <c r="P111" s="300"/>
      <c r="Q111" s="300"/>
      <c r="R111" s="300"/>
      <c r="S111" s="300"/>
      <c r="T111" s="300"/>
      <c r="U111" s="300"/>
      <c r="V111" s="300"/>
      <c r="W111" s="300"/>
      <c r="X111" s="300"/>
      <c r="Y111" s="300"/>
    </row>
    <row r="112" spans="1:25" ht="15" customHeight="1">
      <c r="A112" s="300"/>
      <c r="B112" s="300"/>
      <c r="C112" s="300"/>
      <c r="D112" s="300"/>
      <c r="E112" s="300"/>
      <c r="F112" s="300"/>
      <c r="G112" s="300"/>
      <c r="H112" s="300"/>
      <c r="I112" s="300"/>
      <c r="J112" s="300"/>
      <c r="K112" s="300"/>
      <c r="L112" s="300"/>
      <c r="M112" s="300"/>
      <c r="N112" s="300"/>
      <c r="O112" s="300"/>
      <c r="P112" s="300"/>
      <c r="Q112" s="300"/>
      <c r="R112" s="300"/>
      <c r="S112" s="300"/>
      <c r="T112" s="300"/>
      <c r="U112" s="300"/>
      <c r="V112" s="300"/>
      <c r="W112" s="300"/>
      <c r="X112" s="300"/>
      <c r="Y112" s="300"/>
    </row>
    <row r="113" spans="1:25" ht="15" customHeight="1">
      <c r="A113" s="300"/>
      <c r="B113" s="300"/>
      <c r="C113" s="300"/>
      <c r="D113" s="300"/>
      <c r="E113" s="300"/>
      <c r="F113" s="300"/>
      <c r="G113" s="300"/>
      <c r="H113" s="300"/>
      <c r="I113" s="300"/>
      <c r="J113" s="300"/>
      <c r="K113" s="300"/>
      <c r="L113" s="300"/>
      <c r="M113" s="300"/>
      <c r="N113" s="300"/>
      <c r="O113" s="300"/>
      <c r="P113" s="300"/>
      <c r="Q113" s="300"/>
      <c r="R113" s="300"/>
      <c r="S113" s="300"/>
      <c r="T113" s="300"/>
      <c r="U113" s="300"/>
      <c r="V113" s="300"/>
      <c r="W113" s="300"/>
      <c r="X113" s="300"/>
      <c r="Y113" s="300"/>
    </row>
    <row r="114" spans="1:25" ht="15" customHeight="1">
      <c r="A114" s="300"/>
      <c r="B114" s="300"/>
      <c r="C114" s="300"/>
      <c r="D114" s="300"/>
      <c r="E114" s="300"/>
      <c r="F114" s="300"/>
      <c r="G114" s="300"/>
      <c r="H114" s="300"/>
      <c r="I114" s="300"/>
      <c r="J114" s="300"/>
      <c r="K114" s="300"/>
      <c r="L114" s="300"/>
      <c r="M114" s="300"/>
      <c r="N114" s="300"/>
      <c r="O114" s="300"/>
      <c r="P114" s="300"/>
      <c r="Q114" s="300"/>
      <c r="R114" s="300"/>
      <c r="S114" s="300"/>
      <c r="T114" s="300"/>
      <c r="U114" s="300"/>
      <c r="V114" s="300"/>
      <c r="W114" s="300"/>
      <c r="X114" s="300"/>
      <c r="Y114" s="300"/>
    </row>
    <row r="115" spans="1:25" ht="15" customHeight="1">
      <c r="A115" s="300"/>
      <c r="B115" s="300"/>
      <c r="C115" s="300"/>
      <c r="D115" s="300"/>
      <c r="E115" s="300"/>
      <c r="F115" s="300"/>
      <c r="G115" s="300"/>
      <c r="H115" s="300"/>
      <c r="I115" s="300"/>
      <c r="J115" s="300"/>
      <c r="K115" s="300"/>
      <c r="L115" s="300"/>
      <c r="M115" s="300"/>
      <c r="N115" s="300"/>
      <c r="O115" s="300"/>
      <c r="P115" s="300"/>
      <c r="Q115" s="300"/>
      <c r="R115" s="300"/>
      <c r="S115" s="300"/>
      <c r="T115" s="300"/>
      <c r="U115" s="300"/>
      <c r="V115" s="300"/>
      <c r="W115" s="300"/>
      <c r="X115" s="300"/>
      <c r="Y115" s="300"/>
    </row>
    <row r="116" spans="1:25" ht="15" customHeight="1">
      <c r="A116" s="300"/>
      <c r="B116" s="300"/>
      <c r="C116" s="300"/>
      <c r="D116" s="300"/>
      <c r="E116" s="300"/>
      <c r="F116" s="300"/>
      <c r="G116" s="300"/>
      <c r="H116" s="300"/>
      <c r="I116" s="300"/>
      <c r="J116" s="300"/>
      <c r="K116" s="300"/>
      <c r="L116" s="300"/>
      <c r="M116" s="300"/>
      <c r="N116" s="300"/>
      <c r="O116" s="300"/>
      <c r="P116" s="300"/>
      <c r="Q116" s="300"/>
      <c r="R116" s="300"/>
      <c r="S116" s="300"/>
      <c r="T116" s="300"/>
      <c r="U116" s="300"/>
      <c r="V116" s="300"/>
      <c r="W116" s="300"/>
      <c r="X116" s="300"/>
      <c r="Y116" s="300"/>
    </row>
    <row r="117" spans="1:25" ht="15" customHeight="1">
      <c r="A117" s="300"/>
      <c r="B117" s="300"/>
      <c r="C117" s="300"/>
      <c r="D117" s="300"/>
      <c r="E117" s="300"/>
      <c r="F117" s="300"/>
      <c r="G117" s="300"/>
      <c r="H117" s="300"/>
      <c r="I117" s="300"/>
      <c r="J117" s="300"/>
      <c r="K117" s="300"/>
      <c r="L117" s="300"/>
      <c r="M117" s="300"/>
      <c r="N117" s="300"/>
      <c r="O117" s="300"/>
      <c r="P117" s="300"/>
      <c r="Q117" s="300"/>
      <c r="R117" s="300"/>
      <c r="S117" s="300"/>
      <c r="T117" s="300"/>
      <c r="U117" s="300"/>
      <c r="V117" s="300"/>
      <c r="W117" s="300"/>
      <c r="X117" s="300"/>
      <c r="Y117" s="300"/>
    </row>
    <row r="118" spans="1:25" ht="15" customHeight="1">
      <c r="A118" s="300"/>
      <c r="B118" s="300"/>
      <c r="C118" s="300"/>
      <c r="D118" s="300"/>
      <c r="E118" s="300"/>
      <c r="F118" s="300"/>
      <c r="G118" s="300"/>
      <c r="H118" s="300"/>
      <c r="I118" s="300"/>
      <c r="J118" s="300"/>
      <c r="K118" s="300"/>
      <c r="L118" s="300"/>
      <c r="M118" s="300"/>
      <c r="N118" s="300"/>
      <c r="O118" s="300"/>
      <c r="P118" s="300"/>
      <c r="Q118" s="300"/>
      <c r="R118" s="300"/>
      <c r="S118" s="300"/>
      <c r="T118" s="300"/>
      <c r="U118" s="300"/>
      <c r="V118" s="300"/>
      <c r="W118" s="300"/>
      <c r="X118" s="300"/>
      <c r="Y118" s="300"/>
    </row>
    <row r="119" spans="1:25" ht="15" customHeight="1">
      <c r="A119" s="300"/>
      <c r="B119" s="300"/>
      <c r="C119" s="300"/>
      <c r="D119" s="300"/>
      <c r="E119" s="300"/>
      <c r="F119" s="300"/>
      <c r="G119" s="300"/>
      <c r="H119" s="300"/>
      <c r="I119" s="300"/>
      <c r="J119" s="300"/>
      <c r="K119" s="300"/>
      <c r="L119" s="300"/>
      <c r="M119" s="300"/>
      <c r="N119" s="300"/>
      <c r="O119" s="300"/>
      <c r="P119" s="300"/>
      <c r="Q119" s="300"/>
      <c r="R119" s="300"/>
      <c r="S119" s="300"/>
      <c r="T119" s="300"/>
      <c r="U119" s="300"/>
      <c r="V119" s="300"/>
      <c r="W119" s="300"/>
      <c r="X119" s="300"/>
      <c r="Y119" s="300"/>
    </row>
    <row r="120" spans="1:25" ht="15" customHeight="1">
      <c r="A120" s="300"/>
      <c r="B120" s="300"/>
      <c r="C120" s="300"/>
      <c r="D120" s="300"/>
      <c r="E120" s="300"/>
      <c r="F120" s="300"/>
      <c r="G120" s="300"/>
      <c r="H120" s="300"/>
      <c r="I120" s="300"/>
      <c r="J120" s="300"/>
      <c r="K120" s="300"/>
      <c r="L120" s="300"/>
      <c r="M120" s="300"/>
      <c r="N120" s="300"/>
      <c r="O120" s="300"/>
      <c r="P120" s="300"/>
      <c r="Q120" s="300"/>
      <c r="R120" s="300"/>
      <c r="S120" s="300"/>
      <c r="T120" s="300"/>
      <c r="U120" s="300"/>
      <c r="V120" s="300"/>
      <c r="W120" s="300"/>
      <c r="X120" s="300"/>
      <c r="Y120" s="300"/>
    </row>
    <row r="121" spans="1:25" ht="15" customHeight="1">
      <c r="A121" s="300"/>
      <c r="B121" s="300"/>
      <c r="C121" s="300"/>
      <c r="D121" s="300"/>
      <c r="E121" s="300"/>
      <c r="F121" s="300"/>
      <c r="G121" s="300"/>
      <c r="H121" s="300"/>
      <c r="I121" s="300"/>
      <c r="J121" s="300"/>
      <c r="K121" s="300"/>
      <c r="L121" s="300"/>
      <c r="M121" s="300"/>
      <c r="N121" s="300"/>
      <c r="O121" s="300"/>
      <c r="P121" s="300"/>
      <c r="Q121" s="300"/>
      <c r="R121" s="300"/>
      <c r="S121" s="300"/>
      <c r="T121" s="300"/>
      <c r="U121" s="300"/>
      <c r="V121" s="300"/>
      <c r="W121" s="300"/>
      <c r="X121" s="300"/>
      <c r="Y121" s="300"/>
    </row>
    <row r="122" spans="1:25" ht="15" customHeight="1">
      <c r="A122" s="300"/>
      <c r="B122" s="300"/>
      <c r="C122" s="300"/>
      <c r="D122" s="300"/>
      <c r="E122" s="300"/>
      <c r="F122" s="300"/>
      <c r="G122" s="300"/>
      <c r="H122" s="300"/>
      <c r="I122" s="300"/>
      <c r="J122" s="300"/>
      <c r="K122" s="300"/>
      <c r="L122" s="300"/>
      <c r="M122" s="300"/>
      <c r="N122" s="300"/>
      <c r="O122" s="300"/>
      <c r="P122" s="300"/>
      <c r="Q122" s="300"/>
      <c r="R122" s="300"/>
      <c r="S122" s="300"/>
      <c r="T122" s="300"/>
      <c r="U122" s="300"/>
      <c r="V122" s="300"/>
      <c r="W122" s="300"/>
      <c r="X122" s="300"/>
      <c r="Y122" s="300"/>
    </row>
    <row r="123" spans="1:25" ht="15" customHeight="1">
      <c r="A123" s="300"/>
      <c r="B123" s="300"/>
      <c r="C123" s="300"/>
      <c r="D123" s="300"/>
      <c r="E123" s="300"/>
      <c r="F123" s="300"/>
      <c r="G123" s="300"/>
      <c r="H123" s="300"/>
      <c r="I123" s="300"/>
      <c r="J123" s="300"/>
      <c r="K123" s="300"/>
      <c r="L123" s="300"/>
      <c r="M123" s="300"/>
      <c r="N123" s="300"/>
      <c r="O123" s="300"/>
      <c r="P123" s="300"/>
      <c r="Q123" s="300"/>
      <c r="R123" s="300"/>
      <c r="S123" s="300"/>
      <c r="T123" s="300"/>
      <c r="U123" s="300"/>
      <c r="V123" s="300"/>
      <c r="W123" s="300"/>
      <c r="X123" s="300"/>
      <c r="Y123" s="300"/>
    </row>
    <row r="124" spans="1:25" ht="15" customHeight="1">
      <c r="A124" s="300"/>
      <c r="B124" s="300"/>
      <c r="C124" s="300"/>
      <c r="D124" s="300"/>
      <c r="E124" s="300"/>
      <c r="F124" s="300"/>
      <c r="G124" s="300"/>
      <c r="H124" s="300"/>
      <c r="I124" s="300"/>
      <c r="J124" s="300"/>
      <c r="K124" s="300"/>
      <c r="L124" s="300"/>
      <c r="M124" s="300"/>
      <c r="N124" s="300"/>
      <c r="O124" s="300"/>
      <c r="P124" s="300"/>
      <c r="Q124" s="300"/>
      <c r="R124" s="300"/>
      <c r="S124" s="300"/>
      <c r="T124" s="300"/>
      <c r="U124" s="300"/>
      <c r="V124" s="300"/>
      <c r="W124" s="300"/>
      <c r="X124" s="300"/>
      <c r="Y124" s="300"/>
    </row>
    <row r="125" spans="1:25" ht="16.8">
      <c r="A125" s="300"/>
      <c r="B125" s="300"/>
      <c r="C125" s="300"/>
      <c r="D125" s="300"/>
      <c r="E125" s="300"/>
      <c r="F125" s="300"/>
      <c r="G125" s="300"/>
      <c r="H125" s="300"/>
      <c r="I125" s="300"/>
      <c r="J125" s="300"/>
      <c r="K125" s="300"/>
      <c r="L125" s="300"/>
      <c r="M125" s="300"/>
      <c r="N125" s="300"/>
      <c r="O125" s="300"/>
      <c r="P125" s="300"/>
      <c r="Q125" s="300"/>
      <c r="R125" s="300"/>
      <c r="S125" s="300"/>
      <c r="T125" s="300"/>
      <c r="U125" s="300"/>
      <c r="V125" s="300"/>
      <c r="W125" s="300"/>
      <c r="X125" s="300"/>
      <c r="Y125" s="300"/>
    </row>
    <row r="126" spans="1:25" ht="16.8">
      <c r="A126" s="300"/>
      <c r="B126" s="300"/>
      <c r="C126" s="300"/>
      <c r="D126" s="300"/>
      <c r="E126" s="300"/>
      <c r="F126" s="300"/>
      <c r="G126" s="300"/>
      <c r="H126" s="300"/>
      <c r="I126" s="300"/>
      <c r="J126" s="300"/>
      <c r="K126" s="300"/>
      <c r="L126" s="300"/>
      <c r="M126" s="300"/>
      <c r="N126" s="300"/>
      <c r="O126" s="300"/>
      <c r="P126" s="300"/>
      <c r="Q126" s="300"/>
      <c r="R126" s="300"/>
      <c r="S126" s="300"/>
      <c r="T126" s="300"/>
      <c r="U126" s="300"/>
      <c r="V126" s="300"/>
      <c r="W126" s="300"/>
      <c r="X126" s="300"/>
      <c r="Y126" s="300"/>
    </row>
    <row r="127" spans="1:25" ht="16.8">
      <c r="A127" s="300"/>
      <c r="B127" s="300"/>
      <c r="C127" s="300"/>
      <c r="D127" s="300"/>
      <c r="E127" s="300"/>
      <c r="F127" s="300"/>
      <c r="G127" s="300"/>
      <c r="H127" s="300"/>
      <c r="I127" s="300"/>
      <c r="J127" s="300"/>
      <c r="K127" s="300"/>
      <c r="L127" s="300"/>
      <c r="M127" s="300"/>
      <c r="N127" s="300"/>
      <c r="O127" s="300"/>
      <c r="P127" s="300"/>
      <c r="Q127" s="300"/>
      <c r="R127" s="300"/>
      <c r="S127" s="300"/>
      <c r="T127" s="300"/>
      <c r="U127" s="300"/>
      <c r="V127" s="300"/>
      <c r="W127" s="300"/>
      <c r="X127" s="300"/>
      <c r="Y127" s="300"/>
    </row>
    <row r="128" spans="1:25" ht="16.8">
      <c r="A128" s="300"/>
      <c r="B128" s="300"/>
      <c r="C128" s="300"/>
      <c r="D128" s="300"/>
      <c r="E128" s="300"/>
      <c r="F128" s="300"/>
      <c r="G128" s="300"/>
      <c r="H128" s="300"/>
      <c r="I128" s="300"/>
      <c r="J128" s="300"/>
      <c r="K128" s="300"/>
      <c r="L128" s="300"/>
      <c r="M128" s="300"/>
      <c r="N128" s="300"/>
      <c r="O128" s="300"/>
      <c r="P128" s="300"/>
      <c r="Q128" s="300"/>
      <c r="R128" s="300"/>
      <c r="S128" s="300"/>
      <c r="T128" s="300"/>
      <c r="U128" s="300"/>
      <c r="V128" s="300"/>
      <c r="W128" s="300"/>
      <c r="X128" s="300"/>
      <c r="Y128" s="300"/>
    </row>
    <row r="129" spans="1:25" ht="16.8">
      <c r="A129" s="300"/>
      <c r="B129" s="300"/>
      <c r="C129" s="300"/>
      <c r="D129" s="300"/>
      <c r="E129" s="300"/>
      <c r="F129" s="300"/>
      <c r="G129" s="300"/>
      <c r="H129" s="300"/>
      <c r="I129" s="300"/>
      <c r="J129" s="300"/>
      <c r="K129" s="300"/>
      <c r="L129" s="300"/>
      <c r="M129" s="300"/>
      <c r="N129" s="300"/>
      <c r="O129" s="300"/>
      <c r="P129" s="300"/>
      <c r="Q129" s="300"/>
      <c r="R129" s="300"/>
      <c r="S129" s="300"/>
      <c r="T129" s="300"/>
      <c r="U129" s="300"/>
      <c r="V129" s="300"/>
      <c r="W129" s="300"/>
      <c r="X129" s="300"/>
      <c r="Y129" s="300"/>
    </row>
    <row r="130" spans="1:25" ht="16.8">
      <c r="A130" s="300"/>
      <c r="B130" s="300"/>
      <c r="C130" s="300"/>
      <c r="D130" s="300"/>
      <c r="E130" s="300"/>
      <c r="F130" s="300"/>
      <c r="G130" s="300"/>
      <c r="H130" s="300"/>
      <c r="I130" s="300"/>
      <c r="J130" s="300"/>
      <c r="K130" s="300"/>
      <c r="L130" s="300"/>
      <c r="M130" s="300"/>
      <c r="N130" s="300"/>
      <c r="O130" s="300"/>
      <c r="P130" s="300"/>
      <c r="Q130" s="300"/>
      <c r="R130" s="300"/>
      <c r="S130" s="300"/>
      <c r="T130" s="300"/>
      <c r="U130" s="300"/>
      <c r="V130" s="300"/>
      <c r="W130" s="300"/>
      <c r="X130" s="300"/>
      <c r="Y130" s="300"/>
    </row>
    <row r="131" spans="1:25" ht="16.8">
      <c r="A131" s="300"/>
      <c r="B131" s="300"/>
      <c r="C131" s="300"/>
      <c r="D131" s="300"/>
      <c r="E131" s="300"/>
      <c r="F131" s="300"/>
      <c r="G131" s="300"/>
      <c r="H131" s="300"/>
      <c r="I131" s="300"/>
      <c r="J131" s="300"/>
      <c r="K131" s="300"/>
      <c r="L131" s="300"/>
      <c r="M131" s="300"/>
      <c r="N131" s="300"/>
      <c r="O131" s="300"/>
      <c r="P131" s="300"/>
      <c r="Q131" s="300"/>
      <c r="R131" s="300"/>
      <c r="S131" s="300"/>
      <c r="T131" s="300"/>
      <c r="U131" s="300"/>
      <c r="V131" s="300"/>
      <c r="W131" s="300"/>
      <c r="X131" s="300"/>
      <c r="Y131" s="300"/>
    </row>
    <row r="132" spans="1:25" ht="16.8">
      <c r="A132" s="300"/>
      <c r="B132" s="300"/>
      <c r="C132" s="300"/>
      <c r="D132" s="300"/>
      <c r="E132" s="300"/>
      <c r="F132" s="300"/>
      <c r="G132" s="300"/>
      <c r="H132" s="300"/>
      <c r="I132" s="300"/>
      <c r="J132" s="300"/>
      <c r="K132" s="300"/>
      <c r="L132" s="300"/>
      <c r="M132" s="300"/>
      <c r="N132" s="300"/>
      <c r="O132" s="300"/>
      <c r="P132" s="300"/>
      <c r="Q132" s="300"/>
      <c r="R132" s="300"/>
      <c r="S132" s="300"/>
      <c r="T132" s="300"/>
      <c r="U132" s="300"/>
      <c r="V132" s="300"/>
      <c r="W132" s="300"/>
      <c r="X132" s="300"/>
      <c r="Y132" s="300"/>
    </row>
    <row r="133" spans="1:25" ht="16.8">
      <c r="A133" s="300"/>
      <c r="B133" s="300"/>
      <c r="C133" s="300"/>
      <c r="D133" s="300"/>
      <c r="E133" s="300"/>
      <c r="F133" s="300"/>
      <c r="G133" s="300"/>
      <c r="H133" s="300"/>
      <c r="I133" s="300"/>
      <c r="J133" s="300"/>
      <c r="K133" s="300"/>
      <c r="L133" s="300"/>
      <c r="M133" s="300"/>
      <c r="N133" s="300"/>
      <c r="O133" s="300"/>
      <c r="P133" s="300"/>
      <c r="Q133" s="300"/>
      <c r="R133" s="300"/>
      <c r="S133" s="300"/>
      <c r="T133" s="300"/>
      <c r="U133" s="300"/>
      <c r="V133" s="300"/>
      <c r="W133" s="300"/>
      <c r="X133" s="300"/>
      <c r="Y133" s="300"/>
    </row>
    <row r="134" spans="1:25" ht="16.8">
      <c r="A134" s="300"/>
      <c r="B134" s="300"/>
      <c r="C134" s="300"/>
      <c r="D134" s="300"/>
      <c r="E134" s="300"/>
      <c r="F134" s="300"/>
      <c r="G134" s="300"/>
      <c r="H134" s="300"/>
      <c r="I134" s="300"/>
      <c r="J134" s="300"/>
      <c r="K134" s="300"/>
      <c r="L134" s="300"/>
      <c r="M134" s="300"/>
      <c r="N134" s="300"/>
      <c r="O134" s="300"/>
      <c r="P134" s="300"/>
      <c r="Q134" s="300"/>
      <c r="R134" s="300"/>
      <c r="S134" s="300"/>
      <c r="T134" s="300"/>
      <c r="U134" s="300"/>
      <c r="V134" s="300"/>
      <c r="W134" s="300"/>
      <c r="X134" s="300"/>
      <c r="Y134" s="300"/>
    </row>
    <row r="135" spans="1:25" ht="16.8">
      <c r="A135" s="300"/>
      <c r="B135" s="300"/>
      <c r="C135" s="300"/>
      <c r="D135" s="300"/>
      <c r="E135" s="300"/>
      <c r="F135" s="300"/>
      <c r="G135" s="300"/>
      <c r="H135" s="300"/>
      <c r="I135" s="300"/>
      <c r="J135" s="300"/>
      <c r="K135" s="300"/>
      <c r="L135" s="300"/>
      <c r="M135" s="300"/>
      <c r="N135" s="300"/>
      <c r="O135" s="300"/>
      <c r="P135" s="300"/>
      <c r="Q135" s="300"/>
      <c r="R135" s="300"/>
      <c r="S135" s="300"/>
      <c r="T135" s="300"/>
      <c r="U135" s="300"/>
      <c r="V135" s="300"/>
      <c r="W135" s="300"/>
      <c r="X135" s="300"/>
      <c r="Y135" s="300"/>
    </row>
    <row r="136" spans="1:25" ht="16.8">
      <c r="A136" s="300"/>
      <c r="B136" s="300"/>
      <c r="C136" s="300"/>
      <c r="D136" s="300"/>
      <c r="E136" s="300"/>
      <c r="F136" s="300"/>
      <c r="G136" s="300"/>
      <c r="H136" s="300"/>
      <c r="I136" s="300"/>
      <c r="J136" s="300"/>
      <c r="K136" s="300"/>
      <c r="L136" s="300"/>
      <c r="M136" s="300"/>
      <c r="N136" s="300"/>
      <c r="O136" s="300"/>
      <c r="P136" s="300"/>
      <c r="Q136" s="300"/>
      <c r="R136" s="300"/>
      <c r="S136" s="300"/>
      <c r="T136" s="300"/>
      <c r="U136" s="300"/>
      <c r="V136" s="300"/>
      <c r="W136" s="300"/>
      <c r="X136" s="300"/>
      <c r="Y136" s="300"/>
    </row>
    <row r="137" spans="1:25" ht="16.8">
      <c r="A137" s="300"/>
      <c r="B137" s="300"/>
      <c r="C137" s="300"/>
      <c r="D137" s="300"/>
      <c r="E137" s="300"/>
      <c r="F137" s="300"/>
      <c r="G137" s="300"/>
      <c r="H137" s="300"/>
      <c r="I137" s="300"/>
      <c r="J137" s="300"/>
      <c r="K137" s="300"/>
      <c r="L137" s="300"/>
      <c r="M137" s="300"/>
      <c r="N137" s="300"/>
      <c r="O137" s="300"/>
      <c r="P137" s="300"/>
      <c r="Q137" s="300"/>
      <c r="R137" s="300"/>
      <c r="S137" s="300"/>
      <c r="T137" s="300"/>
      <c r="U137" s="300"/>
      <c r="V137" s="300"/>
      <c r="W137" s="300"/>
      <c r="X137" s="300"/>
      <c r="Y137" s="300"/>
    </row>
    <row r="138" spans="1:25" ht="16.8">
      <c r="A138" s="300"/>
      <c r="B138" s="300"/>
      <c r="C138" s="300"/>
      <c r="D138" s="300"/>
      <c r="E138" s="300"/>
      <c r="F138" s="300"/>
      <c r="G138" s="300"/>
      <c r="H138" s="300"/>
      <c r="I138" s="300"/>
      <c r="J138" s="300"/>
      <c r="K138" s="300"/>
      <c r="L138" s="300"/>
      <c r="M138" s="300"/>
      <c r="N138" s="300"/>
      <c r="O138" s="300"/>
      <c r="P138" s="300"/>
      <c r="Q138" s="300"/>
      <c r="R138" s="300"/>
      <c r="S138" s="300"/>
      <c r="T138" s="300"/>
      <c r="U138" s="300"/>
      <c r="V138" s="300"/>
      <c r="W138" s="300"/>
      <c r="X138" s="300"/>
      <c r="Y138" s="300"/>
    </row>
    <row r="139" spans="1:25" ht="16.8">
      <c r="A139" s="300"/>
      <c r="B139" s="300"/>
      <c r="C139" s="300"/>
      <c r="D139" s="300"/>
      <c r="E139" s="300"/>
      <c r="F139" s="300"/>
      <c r="G139" s="300"/>
      <c r="H139" s="300"/>
      <c r="I139" s="300"/>
      <c r="J139" s="300"/>
      <c r="K139" s="300"/>
      <c r="L139" s="300"/>
      <c r="M139" s="300"/>
      <c r="N139" s="300"/>
      <c r="O139" s="300"/>
      <c r="P139" s="300"/>
      <c r="Q139" s="300"/>
      <c r="R139" s="300"/>
      <c r="S139" s="300"/>
      <c r="T139" s="300"/>
      <c r="U139" s="300"/>
      <c r="V139" s="300"/>
      <c r="W139" s="300"/>
      <c r="X139" s="300"/>
      <c r="Y139" s="300"/>
    </row>
    <row r="140" spans="1:25" ht="16.8">
      <c r="A140" s="300"/>
      <c r="B140" s="300"/>
      <c r="C140" s="300"/>
      <c r="D140" s="300"/>
      <c r="E140" s="300"/>
      <c r="F140" s="300"/>
      <c r="G140" s="300"/>
      <c r="H140" s="300"/>
      <c r="I140" s="300"/>
      <c r="J140" s="300"/>
      <c r="K140" s="300"/>
      <c r="L140" s="300"/>
      <c r="M140" s="300"/>
      <c r="N140" s="300"/>
      <c r="O140" s="300"/>
      <c r="P140" s="300"/>
      <c r="Q140" s="300"/>
      <c r="R140" s="300"/>
      <c r="S140" s="300"/>
      <c r="T140" s="300"/>
      <c r="U140" s="300"/>
      <c r="V140" s="300"/>
      <c r="W140" s="300"/>
      <c r="X140" s="300"/>
      <c r="Y140" s="300"/>
    </row>
    <row r="141" spans="1:25" ht="16.8">
      <c r="A141" s="300"/>
      <c r="B141" s="300"/>
      <c r="C141" s="300"/>
      <c r="D141" s="300"/>
      <c r="E141" s="300"/>
      <c r="F141" s="300"/>
      <c r="G141" s="300"/>
      <c r="H141" s="300"/>
      <c r="I141" s="300"/>
      <c r="J141" s="300"/>
      <c r="K141" s="300"/>
      <c r="L141" s="300"/>
      <c r="M141" s="300"/>
      <c r="N141" s="300"/>
      <c r="O141" s="300"/>
      <c r="P141" s="300"/>
      <c r="Q141" s="300"/>
      <c r="R141" s="300"/>
      <c r="S141" s="300"/>
      <c r="T141" s="300"/>
      <c r="U141" s="300"/>
      <c r="V141" s="300"/>
      <c r="W141" s="300"/>
      <c r="X141" s="300"/>
      <c r="Y141" s="300"/>
    </row>
    <row r="142" spans="1:25" ht="16.8">
      <c r="A142" s="300"/>
      <c r="B142" s="300"/>
      <c r="C142" s="300"/>
      <c r="D142" s="300"/>
      <c r="E142" s="300"/>
      <c r="F142" s="300"/>
      <c r="G142" s="300"/>
      <c r="H142" s="300"/>
      <c r="I142" s="300"/>
      <c r="J142" s="300"/>
      <c r="K142" s="300"/>
      <c r="L142" s="300"/>
      <c r="M142" s="300"/>
      <c r="N142" s="300"/>
      <c r="O142" s="300"/>
      <c r="P142" s="300"/>
      <c r="Q142" s="300"/>
      <c r="R142" s="300"/>
      <c r="S142" s="300"/>
      <c r="T142" s="300"/>
      <c r="U142" s="300"/>
      <c r="V142" s="300"/>
      <c r="W142" s="300"/>
      <c r="X142" s="300"/>
      <c r="Y142" s="300"/>
    </row>
    <row r="143" spans="1:25" ht="16.8">
      <c r="A143" s="300"/>
      <c r="B143" s="300"/>
      <c r="C143" s="300"/>
      <c r="D143" s="300"/>
      <c r="E143" s="300"/>
      <c r="F143" s="300"/>
      <c r="G143" s="300"/>
      <c r="H143" s="300"/>
      <c r="I143" s="300"/>
      <c r="J143" s="300"/>
      <c r="K143" s="300"/>
      <c r="L143" s="300"/>
      <c r="M143" s="300"/>
      <c r="N143" s="300"/>
      <c r="O143" s="300"/>
      <c r="P143" s="300"/>
      <c r="Q143" s="300"/>
      <c r="R143" s="300"/>
      <c r="S143" s="300"/>
      <c r="T143" s="300"/>
      <c r="U143" s="300"/>
      <c r="V143" s="300"/>
      <c r="W143" s="300"/>
      <c r="X143" s="300"/>
      <c r="Y143" s="300"/>
    </row>
    <row r="144" spans="1:25" ht="16.8">
      <c r="A144" s="300"/>
      <c r="B144" s="300"/>
      <c r="C144" s="300"/>
      <c r="D144" s="300"/>
      <c r="E144" s="300"/>
      <c r="F144" s="300"/>
      <c r="G144" s="300"/>
      <c r="H144" s="300"/>
      <c r="I144" s="300"/>
      <c r="J144" s="300"/>
      <c r="K144" s="300"/>
      <c r="L144" s="300"/>
      <c r="M144" s="300"/>
      <c r="N144" s="300"/>
      <c r="O144" s="300"/>
      <c r="P144" s="300"/>
      <c r="Q144" s="300"/>
      <c r="R144" s="300"/>
      <c r="S144" s="300"/>
      <c r="T144" s="300"/>
      <c r="U144" s="300"/>
      <c r="V144" s="300"/>
      <c r="W144" s="300"/>
      <c r="X144" s="300"/>
      <c r="Y144" s="300"/>
    </row>
    <row r="145" spans="1:25" ht="16.8">
      <c r="A145" s="300"/>
      <c r="B145" s="300"/>
      <c r="C145" s="300"/>
      <c r="D145" s="300"/>
      <c r="E145" s="300"/>
      <c r="F145" s="300"/>
      <c r="G145" s="300"/>
      <c r="H145" s="300"/>
      <c r="I145" s="300"/>
      <c r="J145" s="300"/>
      <c r="K145" s="300"/>
      <c r="L145" s="300"/>
      <c r="M145" s="300"/>
      <c r="N145" s="300"/>
      <c r="O145" s="300"/>
      <c r="P145" s="300"/>
      <c r="Q145" s="300"/>
      <c r="R145" s="300"/>
      <c r="S145" s="300"/>
      <c r="T145" s="300"/>
      <c r="U145" s="300"/>
      <c r="V145" s="300"/>
      <c r="W145" s="300"/>
      <c r="X145" s="300"/>
      <c r="Y145" s="300"/>
    </row>
    <row r="146" spans="1:25" ht="16.8">
      <c r="A146" s="300"/>
      <c r="B146" s="300"/>
      <c r="C146" s="300"/>
      <c r="D146" s="300"/>
      <c r="E146" s="300"/>
      <c r="F146" s="300"/>
      <c r="G146" s="300"/>
      <c r="H146" s="300"/>
      <c r="I146" s="300"/>
      <c r="J146" s="300"/>
      <c r="K146" s="300"/>
      <c r="L146" s="300"/>
      <c r="M146" s="300"/>
      <c r="N146" s="300"/>
      <c r="O146" s="300"/>
      <c r="P146" s="300"/>
      <c r="Q146" s="300"/>
      <c r="R146" s="300"/>
      <c r="S146" s="300"/>
      <c r="T146" s="300"/>
      <c r="U146" s="300"/>
      <c r="V146" s="300"/>
      <c r="W146" s="300"/>
      <c r="X146" s="300"/>
      <c r="Y146" s="300"/>
    </row>
    <row r="147" spans="1:25" ht="16.8">
      <c r="A147" s="300"/>
      <c r="B147" s="300"/>
      <c r="C147" s="300"/>
      <c r="D147" s="300"/>
      <c r="E147" s="300"/>
      <c r="F147" s="300"/>
      <c r="G147" s="300"/>
      <c r="H147" s="300"/>
      <c r="I147" s="300"/>
      <c r="J147" s="300"/>
      <c r="K147" s="300"/>
      <c r="L147" s="300"/>
      <c r="M147" s="300"/>
      <c r="N147" s="300"/>
      <c r="O147" s="300"/>
      <c r="P147" s="300"/>
      <c r="Q147" s="300"/>
      <c r="R147" s="300"/>
      <c r="S147" s="300"/>
      <c r="T147" s="300"/>
      <c r="U147" s="300"/>
      <c r="V147" s="300"/>
      <c r="W147" s="300"/>
      <c r="X147" s="300"/>
      <c r="Y147" s="300"/>
    </row>
    <row r="148" spans="1:25" ht="16.8">
      <c r="A148" s="300"/>
      <c r="B148" s="300"/>
      <c r="C148" s="300"/>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row>
    <row r="149" spans="1:25" ht="16.8">
      <c r="A149" s="300"/>
      <c r="B149" s="300"/>
      <c r="C149" s="300"/>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row>
    <row r="150" spans="1:25" ht="16.8">
      <c r="A150" s="300"/>
      <c r="B150" s="300"/>
      <c r="C150" s="300"/>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row>
    <row r="151" spans="1:25" ht="16.8">
      <c r="A151" s="300"/>
      <c r="B151" s="300"/>
      <c r="C151" s="300"/>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row>
    <row r="152" spans="1:25" ht="16.8">
      <c r="A152" s="300"/>
      <c r="B152" s="300"/>
      <c r="C152" s="300"/>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row>
    <row r="153" spans="1:25" ht="16.8" hidden="1">
      <c r="A153" s="300"/>
      <c r="B153" s="300"/>
      <c r="C153" s="300"/>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row>
    <row r="154" spans="1:25" ht="16.8" hidden="1">
      <c r="A154" s="300"/>
      <c r="B154" s="300"/>
      <c r="C154" s="300"/>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row>
    <row r="155" spans="1:25" ht="16.8" hidden="1">
      <c r="A155" s="300"/>
      <c r="B155" s="300"/>
      <c r="C155" s="300"/>
      <c r="D155" s="300"/>
      <c r="E155" s="300"/>
      <c r="F155" s="300"/>
      <c r="G155" s="300"/>
      <c r="H155" s="300"/>
      <c r="I155" s="300"/>
      <c r="J155" s="300"/>
      <c r="K155" s="300"/>
      <c r="L155" s="300"/>
      <c r="M155" s="300"/>
      <c r="N155" s="300"/>
      <c r="O155" s="300"/>
      <c r="P155" s="300"/>
      <c r="Q155" s="300"/>
      <c r="R155" s="300"/>
      <c r="S155" s="300"/>
      <c r="T155" s="300"/>
      <c r="U155" s="300"/>
      <c r="V155" s="300"/>
      <c r="W155" s="300"/>
      <c r="X155" s="300"/>
      <c r="Y155" s="300"/>
    </row>
    <row r="156" spans="1:25" ht="16.8" hidden="1">
      <c r="A156" s="300"/>
      <c r="B156" s="300"/>
      <c r="C156" s="300"/>
      <c r="D156" s="300"/>
      <c r="E156" s="300"/>
      <c r="F156" s="300"/>
      <c r="G156" s="300"/>
      <c r="H156" s="300"/>
      <c r="I156" s="300"/>
      <c r="J156" s="300"/>
      <c r="K156" s="300"/>
      <c r="L156" s="300"/>
      <c r="M156" s="300"/>
      <c r="N156" s="300"/>
      <c r="O156" s="300"/>
      <c r="P156" s="300"/>
      <c r="Q156" s="300"/>
      <c r="R156" s="300"/>
      <c r="S156" s="300"/>
      <c r="T156" s="300"/>
      <c r="U156" s="300"/>
      <c r="V156" s="300"/>
      <c r="W156" s="300"/>
      <c r="X156" s="300"/>
      <c r="Y156" s="300"/>
    </row>
    <row r="157" spans="1:25" ht="16.8" hidden="1">
      <c r="A157" s="300"/>
      <c r="B157" s="300"/>
      <c r="C157" s="300"/>
      <c r="D157" s="300"/>
      <c r="E157" s="300"/>
      <c r="F157" s="300"/>
      <c r="G157" s="300"/>
      <c r="H157" s="300"/>
      <c r="I157" s="300"/>
      <c r="J157" s="300"/>
      <c r="K157" s="300"/>
      <c r="L157" s="300"/>
      <c r="M157" s="300"/>
      <c r="N157" s="300"/>
      <c r="O157" s="300"/>
      <c r="P157" s="300"/>
      <c r="Q157" s="300"/>
      <c r="R157" s="300"/>
      <c r="S157" s="300"/>
      <c r="T157" s="300"/>
      <c r="U157" s="300"/>
      <c r="V157" s="300"/>
      <c r="W157" s="300"/>
      <c r="X157" s="300"/>
      <c r="Y157" s="300"/>
    </row>
    <row r="158" spans="1:25" ht="16.8" hidden="1">
      <c r="A158" s="300"/>
      <c r="B158" s="300"/>
      <c r="C158" s="300"/>
      <c r="D158" s="300"/>
      <c r="E158" s="300"/>
      <c r="F158" s="300"/>
      <c r="G158" s="300"/>
      <c r="H158" s="300"/>
      <c r="I158" s="300"/>
      <c r="J158" s="300"/>
      <c r="K158" s="300"/>
      <c r="L158" s="300"/>
      <c r="M158" s="300"/>
      <c r="N158" s="300"/>
      <c r="O158" s="300"/>
      <c r="P158" s="300"/>
      <c r="Q158" s="300"/>
      <c r="R158" s="300"/>
      <c r="S158" s="300"/>
      <c r="T158" s="300"/>
      <c r="U158" s="300"/>
      <c r="V158" s="300"/>
      <c r="W158" s="300"/>
      <c r="X158" s="300"/>
      <c r="Y158" s="300"/>
    </row>
    <row r="159" spans="1:25" ht="16.8" hidden="1">
      <c r="A159" s="300"/>
      <c r="B159" s="300"/>
      <c r="C159" s="300"/>
      <c r="D159" s="300"/>
      <c r="E159" s="300"/>
      <c r="F159" s="300"/>
      <c r="G159" s="300"/>
      <c r="H159" s="300"/>
      <c r="I159" s="300"/>
      <c r="J159" s="300"/>
      <c r="K159" s="300"/>
      <c r="L159" s="300"/>
      <c r="M159" s="300"/>
      <c r="N159" s="300"/>
      <c r="O159" s="300"/>
      <c r="P159" s="300"/>
      <c r="Q159" s="300"/>
      <c r="R159" s="300"/>
      <c r="S159" s="300"/>
      <c r="T159" s="300"/>
      <c r="U159" s="300"/>
      <c r="V159" s="300"/>
      <c r="W159" s="300"/>
      <c r="X159" s="300"/>
      <c r="Y159" s="300"/>
    </row>
    <row r="160" spans="1:25" ht="16.8" hidden="1">
      <c r="A160" s="300"/>
      <c r="B160" s="300"/>
      <c r="C160" s="300"/>
      <c r="D160" s="300"/>
      <c r="E160" s="300"/>
      <c r="F160" s="300"/>
      <c r="G160" s="300"/>
      <c r="H160" s="300"/>
      <c r="I160" s="300"/>
      <c r="J160" s="300"/>
      <c r="K160" s="300"/>
      <c r="L160" s="300"/>
      <c r="M160" s="300"/>
      <c r="N160" s="300"/>
      <c r="O160" s="300"/>
      <c r="P160" s="300"/>
      <c r="Q160" s="300"/>
      <c r="R160" s="300"/>
      <c r="S160" s="300"/>
      <c r="T160" s="300"/>
      <c r="U160" s="300"/>
      <c r="V160" s="300"/>
      <c r="W160" s="300"/>
      <c r="X160" s="300"/>
      <c r="Y160" s="300"/>
    </row>
    <row r="161" spans="1:25" ht="16.8" hidden="1">
      <c r="A161" s="300"/>
      <c r="B161" s="300"/>
      <c r="C161" s="300"/>
      <c r="D161" s="300"/>
      <c r="E161" s="300"/>
      <c r="F161" s="300"/>
      <c r="G161" s="300"/>
      <c r="H161" s="300"/>
      <c r="I161" s="300"/>
      <c r="J161" s="300"/>
      <c r="K161" s="300"/>
      <c r="L161" s="300"/>
      <c r="M161" s="300"/>
      <c r="N161" s="300"/>
      <c r="O161" s="300"/>
      <c r="P161" s="300"/>
      <c r="Q161" s="300"/>
      <c r="R161" s="300"/>
      <c r="S161" s="300"/>
      <c r="T161" s="300"/>
      <c r="U161" s="300"/>
      <c r="V161" s="300"/>
      <c r="W161" s="300"/>
      <c r="X161" s="300"/>
      <c r="Y161" s="300"/>
    </row>
    <row r="162" spans="1:25" ht="16.8" hidden="1">
      <c r="A162" s="300"/>
      <c r="B162" s="300"/>
      <c r="C162" s="300"/>
      <c r="D162" s="300"/>
      <c r="E162" s="300"/>
      <c r="F162" s="300"/>
      <c r="G162" s="300"/>
      <c r="H162" s="300"/>
      <c r="I162" s="300"/>
      <c r="J162" s="300"/>
      <c r="K162" s="300"/>
      <c r="L162" s="300"/>
      <c r="M162" s="300"/>
      <c r="N162" s="300"/>
      <c r="O162" s="300"/>
      <c r="P162" s="300"/>
      <c r="Q162" s="300"/>
      <c r="R162" s="300"/>
      <c r="S162" s="300"/>
      <c r="T162" s="300"/>
      <c r="U162" s="300"/>
      <c r="V162" s="300"/>
      <c r="W162" s="300"/>
      <c r="X162" s="300"/>
      <c r="Y162" s="300"/>
    </row>
    <row r="163" spans="1:25" ht="16.8" hidden="1">
      <c r="A163" s="300"/>
      <c r="B163" s="300"/>
      <c r="C163" s="300"/>
      <c r="D163" s="300"/>
      <c r="E163" s="300"/>
      <c r="F163" s="300"/>
      <c r="G163" s="300"/>
      <c r="H163" s="300"/>
      <c r="I163" s="300"/>
      <c r="J163" s="300"/>
      <c r="K163" s="300"/>
      <c r="L163" s="300"/>
      <c r="M163" s="300"/>
      <c r="N163" s="300"/>
      <c r="O163" s="300"/>
      <c r="P163" s="300"/>
      <c r="Q163" s="300"/>
      <c r="R163" s="300"/>
      <c r="S163" s="300"/>
      <c r="T163" s="300"/>
      <c r="U163" s="300"/>
      <c r="V163" s="300"/>
      <c r="W163" s="300"/>
      <c r="X163" s="300"/>
      <c r="Y163" s="300"/>
    </row>
    <row r="164" spans="1:25" ht="16.8" hidden="1">
      <c r="A164" s="300"/>
      <c r="B164" s="300"/>
      <c r="C164" s="300"/>
      <c r="D164" s="300"/>
      <c r="E164" s="300"/>
      <c r="F164" s="300"/>
      <c r="G164" s="300"/>
      <c r="H164" s="300"/>
      <c r="I164" s="300"/>
      <c r="J164" s="300"/>
      <c r="K164" s="300"/>
      <c r="L164" s="300"/>
      <c r="M164" s="300"/>
      <c r="N164" s="300"/>
      <c r="O164" s="300"/>
      <c r="P164" s="300"/>
      <c r="Q164" s="300"/>
      <c r="R164" s="300"/>
      <c r="S164" s="300"/>
      <c r="T164" s="300"/>
      <c r="U164" s="300"/>
      <c r="V164" s="300"/>
      <c r="W164" s="300"/>
      <c r="X164" s="300"/>
      <c r="Y164" s="300"/>
    </row>
    <row r="165" spans="1:25" ht="16.8" hidden="1">
      <c r="A165" s="300"/>
      <c r="B165" s="300"/>
      <c r="C165" s="300"/>
      <c r="D165" s="300"/>
      <c r="E165" s="300"/>
      <c r="F165" s="300"/>
      <c r="G165" s="300"/>
      <c r="H165" s="300"/>
      <c r="I165" s="300"/>
      <c r="J165" s="300"/>
      <c r="K165" s="300"/>
      <c r="L165" s="300"/>
      <c r="M165" s="300"/>
      <c r="N165" s="300"/>
      <c r="O165" s="300"/>
      <c r="P165" s="300"/>
      <c r="Q165" s="300"/>
      <c r="R165" s="300"/>
      <c r="S165" s="300"/>
      <c r="T165" s="300"/>
      <c r="U165" s="300"/>
      <c r="V165" s="300"/>
      <c r="W165" s="300"/>
      <c r="X165" s="300"/>
      <c r="Y165" s="300"/>
    </row>
    <row r="166" spans="1:25" ht="16.8" hidden="1">
      <c r="A166" s="300"/>
      <c r="B166" s="300"/>
      <c r="C166" s="300"/>
      <c r="D166" s="300"/>
      <c r="E166" s="300"/>
      <c r="F166" s="300"/>
      <c r="G166" s="300"/>
      <c r="H166" s="300"/>
      <c r="I166" s="300"/>
      <c r="J166" s="300"/>
      <c r="K166" s="300"/>
      <c r="L166" s="300"/>
      <c r="M166" s="300"/>
      <c r="N166" s="300"/>
      <c r="O166" s="300"/>
      <c r="P166" s="300"/>
      <c r="Q166" s="300"/>
      <c r="R166" s="300"/>
      <c r="S166" s="300"/>
      <c r="T166" s="300"/>
      <c r="U166" s="300"/>
      <c r="V166" s="300"/>
      <c r="W166" s="300"/>
      <c r="X166" s="300"/>
      <c r="Y166" s="300"/>
    </row>
    <row r="167" spans="1:25" ht="16.8" hidden="1">
      <c r="A167" s="300"/>
      <c r="B167" s="300"/>
      <c r="C167" s="300"/>
      <c r="D167" s="300"/>
      <c r="E167" s="300"/>
      <c r="F167" s="300"/>
      <c r="G167" s="300"/>
      <c r="H167" s="300"/>
      <c r="I167" s="300"/>
      <c r="J167" s="300"/>
      <c r="K167" s="300"/>
      <c r="L167" s="300"/>
      <c r="M167" s="300"/>
      <c r="N167" s="300"/>
      <c r="O167" s="300"/>
      <c r="P167" s="300"/>
      <c r="Q167" s="300"/>
      <c r="R167" s="300"/>
      <c r="S167" s="300"/>
      <c r="T167" s="300"/>
      <c r="U167" s="300"/>
      <c r="V167" s="300"/>
      <c r="W167" s="300"/>
      <c r="X167" s="300"/>
      <c r="Y167" s="300"/>
    </row>
    <row r="168" spans="1:25" ht="16.8" hidden="1">
      <c r="A168" s="300"/>
      <c r="B168" s="300"/>
      <c r="C168" s="300"/>
      <c r="D168" s="300"/>
      <c r="E168" s="300"/>
      <c r="F168" s="300"/>
      <c r="G168" s="300"/>
      <c r="H168" s="300"/>
      <c r="I168" s="300"/>
      <c r="J168" s="300"/>
      <c r="K168" s="300"/>
      <c r="L168" s="300"/>
      <c r="M168" s="300"/>
      <c r="N168" s="300"/>
      <c r="O168" s="300"/>
      <c r="P168" s="300"/>
      <c r="Q168" s="300"/>
      <c r="R168" s="300"/>
      <c r="S168" s="300"/>
      <c r="T168" s="300"/>
      <c r="U168" s="300"/>
      <c r="V168" s="300"/>
      <c r="W168" s="300"/>
      <c r="X168" s="300"/>
      <c r="Y168" s="300"/>
    </row>
    <row r="169" spans="1:25" ht="16.8" hidden="1">
      <c r="A169" s="300"/>
      <c r="B169" s="300"/>
      <c r="C169" s="300"/>
      <c r="D169" s="300"/>
      <c r="E169" s="300"/>
      <c r="F169" s="300"/>
      <c r="G169" s="300"/>
      <c r="H169" s="300"/>
      <c r="I169" s="300"/>
      <c r="J169" s="300"/>
      <c r="K169" s="300"/>
      <c r="L169" s="300"/>
      <c r="M169" s="300"/>
      <c r="N169" s="300"/>
      <c r="O169" s="300"/>
      <c r="P169" s="300"/>
      <c r="Q169" s="300"/>
      <c r="R169" s="300"/>
      <c r="S169" s="300"/>
      <c r="T169" s="300"/>
      <c r="U169" s="300"/>
      <c r="V169" s="300"/>
      <c r="W169" s="300"/>
      <c r="X169" s="300"/>
      <c r="Y169" s="300"/>
    </row>
    <row r="170" spans="1:25" ht="16.8" hidden="1">
      <c r="A170" s="300"/>
      <c r="B170" s="300"/>
      <c r="C170" s="300"/>
      <c r="D170" s="300"/>
      <c r="E170" s="300"/>
      <c r="F170" s="300"/>
      <c r="G170" s="300"/>
      <c r="H170" s="300"/>
      <c r="I170" s="300"/>
      <c r="J170" s="300"/>
      <c r="K170" s="300"/>
      <c r="L170" s="300"/>
      <c r="M170" s="300"/>
      <c r="N170" s="300"/>
      <c r="O170" s="300"/>
      <c r="P170" s="300"/>
      <c r="Q170" s="300"/>
      <c r="R170" s="300"/>
      <c r="S170" s="300"/>
      <c r="T170" s="300"/>
      <c r="U170" s="300"/>
      <c r="V170" s="300"/>
      <c r="W170" s="300"/>
      <c r="X170" s="300"/>
      <c r="Y170" s="300"/>
    </row>
    <row r="171" spans="1:25" ht="16.8" hidden="1">
      <c r="A171" s="300"/>
      <c r="B171" s="300"/>
      <c r="C171" s="300"/>
      <c r="D171" s="300"/>
      <c r="E171" s="300"/>
      <c r="F171" s="300"/>
      <c r="G171" s="300"/>
      <c r="H171" s="300"/>
      <c r="I171" s="300"/>
      <c r="J171" s="300"/>
      <c r="K171" s="300"/>
      <c r="L171" s="300"/>
      <c r="M171" s="300"/>
      <c r="N171" s="300"/>
      <c r="O171" s="300"/>
      <c r="P171" s="300"/>
      <c r="Q171" s="300"/>
      <c r="R171" s="300"/>
      <c r="S171" s="300"/>
      <c r="T171" s="300"/>
      <c r="U171" s="300"/>
      <c r="V171" s="300"/>
      <c r="W171" s="300"/>
      <c r="X171" s="300"/>
      <c r="Y171" s="300"/>
    </row>
    <row r="172" spans="1:25" ht="16.8" hidden="1">
      <c r="A172" s="300"/>
      <c r="B172" s="300"/>
      <c r="C172" s="300"/>
      <c r="D172" s="300"/>
      <c r="E172" s="300"/>
      <c r="F172" s="300"/>
      <c r="G172" s="300"/>
      <c r="H172" s="300"/>
      <c r="I172" s="300"/>
      <c r="J172" s="300"/>
      <c r="K172" s="300"/>
      <c r="L172" s="300"/>
      <c r="M172" s="300"/>
      <c r="N172" s="300"/>
      <c r="O172" s="300"/>
      <c r="P172" s="300"/>
      <c r="Q172" s="300"/>
      <c r="R172" s="300"/>
      <c r="S172" s="300"/>
      <c r="T172" s="300"/>
      <c r="U172" s="300"/>
      <c r="V172" s="300"/>
      <c r="W172" s="300"/>
      <c r="X172" s="300"/>
      <c r="Y172" s="300"/>
    </row>
    <row r="173" spans="1:25" ht="16.8" hidden="1">
      <c r="A173" s="300"/>
      <c r="B173" s="300"/>
      <c r="C173" s="300"/>
      <c r="D173" s="300"/>
      <c r="E173" s="300"/>
      <c r="F173" s="300"/>
      <c r="G173" s="300"/>
      <c r="H173" s="300"/>
      <c r="I173" s="300"/>
      <c r="J173" s="300"/>
      <c r="K173" s="300"/>
      <c r="L173" s="300"/>
      <c r="M173" s="300"/>
      <c r="N173" s="300"/>
      <c r="O173" s="300"/>
      <c r="P173" s="300"/>
      <c r="Q173" s="300"/>
      <c r="R173" s="300"/>
      <c r="S173" s="300"/>
      <c r="T173" s="300"/>
      <c r="U173" s="300"/>
      <c r="V173" s="300"/>
      <c r="W173" s="300"/>
      <c r="X173" s="300"/>
      <c r="Y173" s="300"/>
    </row>
    <row r="174" spans="1:25" ht="16.8" hidden="1">
      <c r="A174" s="300"/>
      <c r="B174" s="300"/>
      <c r="C174" s="300"/>
      <c r="D174" s="300"/>
      <c r="E174" s="300"/>
      <c r="F174" s="300"/>
      <c r="G174" s="300"/>
      <c r="H174" s="300"/>
      <c r="I174" s="300"/>
      <c r="J174" s="300"/>
      <c r="K174" s="300"/>
      <c r="L174" s="300"/>
      <c r="M174" s="300"/>
      <c r="N174" s="300"/>
      <c r="O174" s="300"/>
      <c r="P174" s="300"/>
      <c r="Q174" s="300"/>
      <c r="R174" s="300"/>
      <c r="S174" s="300"/>
      <c r="T174" s="300"/>
      <c r="U174" s="300"/>
      <c r="V174" s="300"/>
      <c r="W174" s="300"/>
      <c r="X174" s="300"/>
      <c r="Y174" s="300"/>
    </row>
    <row r="175" spans="1:25" ht="16.8" hidden="1">
      <c r="A175" s="300"/>
      <c r="B175" s="300"/>
      <c r="C175" s="300"/>
      <c r="D175" s="300"/>
      <c r="E175" s="300"/>
      <c r="F175" s="300"/>
      <c r="G175" s="300"/>
      <c r="H175" s="300"/>
      <c r="I175" s="300"/>
      <c r="J175" s="300"/>
      <c r="K175" s="300"/>
      <c r="L175" s="300"/>
      <c r="M175" s="300"/>
      <c r="N175" s="300"/>
      <c r="O175" s="300"/>
      <c r="P175" s="300"/>
      <c r="Q175" s="300"/>
      <c r="R175" s="300"/>
      <c r="S175" s="300"/>
      <c r="T175" s="300"/>
      <c r="U175" s="300"/>
      <c r="V175" s="300"/>
      <c r="W175" s="300"/>
      <c r="X175" s="300"/>
      <c r="Y175" s="300"/>
    </row>
    <row r="176" spans="1:25" ht="16.8" hidden="1">
      <c r="A176" s="300"/>
      <c r="B176" s="300"/>
      <c r="C176" s="300"/>
      <c r="D176" s="300"/>
      <c r="E176" s="300"/>
      <c r="F176" s="300"/>
      <c r="G176" s="300"/>
      <c r="H176" s="300"/>
      <c r="I176" s="300"/>
      <c r="J176" s="300"/>
      <c r="K176" s="300"/>
      <c r="L176" s="300"/>
      <c r="M176" s="300"/>
      <c r="N176" s="300"/>
      <c r="O176" s="300"/>
      <c r="P176" s="300"/>
      <c r="Q176" s="300"/>
      <c r="R176" s="300"/>
      <c r="S176" s="300"/>
      <c r="T176" s="300"/>
      <c r="U176" s="300"/>
      <c r="V176" s="300"/>
      <c r="W176" s="300"/>
      <c r="X176" s="300"/>
      <c r="Y176" s="300"/>
    </row>
    <row r="177" spans="1:25" ht="16.8" hidden="1">
      <c r="A177" s="300"/>
      <c r="B177" s="300"/>
      <c r="C177" s="300"/>
      <c r="D177" s="300"/>
      <c r="E177" s="300"/>
      <c r="F177" s="300"/>
      <c r="G177" s="300"/>
      <c r="H177" s="300"/>
      <c r="I177" s="300"/>
      <c r="J177" s="300"/>
      <c r="K177" s="300"/>
      <c r="L177" s="300"/>
      <c r="M177" s="300"/>
      <c r="N177" s="300"/>
      <c r="O177" s="300"/>
      <c r="P177" s="300"/>
      <c r="Q177" s="300"/>
      <c r="R177" s="300"/>
      <c r="S177" s="300"/>
      <c r="T177" s="300"/>
      <c r="U177" s="300"/>
      <c r="V177" s="300"/>
      <c r="W177" s="300"/>
      <c r="X177" s="300"/>
      <c r="Y177" s="300"/>
    </row>
    <row r="178" spans="1:25" ht="16.8" hidden="1">
      <c r="A178" s="300"/>
      <c r="B178" s="300"/>
      <c r="C178" s="300"/>
      <c r="D178" s="300"/>
      <c r="E178" s="300"/>
      <c r="F178" s="300"/>
      <c r="G178" s="300"/>
      <c r="H178" s="300"/>
      <c r="I178" s="300"/>
      <c r="J178" s="300"/>
      <c r="K178" s="300"/>
      <c r="L178" s="300"/>
      <c r="M178" s="300"/>
      <c r="N178" s="300"/>
      <c r="O178" s="300"/>
      <c r="P178" s="300"/>
      <c r="Q178" s="300"/>
      <c r="R178" s="300"/>
      <c r="S178" s="300"/>
      <c r="T178" s="300"/>
      <c r="U178" s="300"/>
      <c r="V178" s="300"/>
      <c r="W178" s="300"/>
      <c r="X178" s="300"/>
      <c r="Y178" s="300"/>
    </row>
    <row r="179" spans="1:25" ht="16.8" hidden="1">
      <c r="A179" s="300"/>
      <c r="B179" s="300"/>
      <c r="C179" s="300"/>
      <c r="D179" s="300"/>
      <c r="E179" s="300"/>
      <c r="F179" s="300"/>
      <c r="G179" s="300"/>
      <c r="H179" s="300"/>
      <c r="I179" s="300"/>
      <c r="J179" s="300"/>
      <c r="K179" s="300"/>
      <c r="L179" s="300"/>
      <c r="M179" s="300"/>
      <c r="N179" s="300"/>
      <c r="O179" s="300"/>
      <c r="P179" s="300"/>
      <c r="Q179" s="300"/>
      <c r="R179" s="300"/>
      <c r="S179" s="300"/>
      <c r="T179" s="300"/>
      <c r="U179" s="300"/>
      <c r="V179" s="300"/>
      <c r="W179" s="300"/>
      <c r="X179" s="300"/>
      <c r="Y179" s="300"/>
    </row>
    <row r="180" spans="1:25" ht="16.8" hidden="1">
      <c r="A180" s="300"/>
      <c r="B180" s="300"/>
      <c r="C180" s="300"/>
      <c r="D180" s="300"/>
      <c r="E180" s="300"/>
      <c r="F180" s="300"/>
      <c r="G180" s="300"/>
      <c r="H180" s="300"/>
      <c r="I180" s="300"/>
      <c r="J180" s="300"/>
      <c r="K180" s="300"/>
      <c r="L180" s="300"/>
      <c r="M180" s="300"/>
      <c r="N180" s="300"/>
      <c r="O180" s="300"/>
      <c r="P180" s="300"/>
      <c r="Q180" s="300"/>
      <c r="R180" s="300"/>
      <c r="S180" s="300"/>
      <c r="T180" s="300"/>
      <c r="U180" s="300"/>
      <c r="V180" s="300"/>
      <c r="W180" s="300"/>
      <c r="X180" s="300"/>
      <c r="Y180" s="300"/>
    </row>
    <row r="181" spans="1:25" ht="16.8" hidden="1">
      <c r="A181" s="300"/>
      <c r="B181" s="300"/>
      <c r="C181" s="300"/>
      <c r="D181" s="300"/>
      <c r="E181" s="300"/>
      <c r="F181" s="300"/>
      <c r="G181" s="300"/>
      <c r="H181" s="300"/>
      <c r="I181" s="300"/>
      <c r="J181" s="300"/>
      <c r="K181" s="300"/>
      <c r="L181" s="300"/>
      <c r="M181" s="300"/>
      <c r="N181" s="300"/>
      <c r="O181" s="300"/>
      <c r="P181" s="300"/>
      <c r="Q181" s="300"/>
      <c r="R181" s="300"/>
      <c r="S181" s="300"/>
      <c r="T181" s="300"/>
      <c r="U181" s="300"/>
      <c r="V181" s="300"/>
      <c r="W181" s="300"/>
      <c r="X181" s="300"/>
      <c r="Y181" s="300"/>
    </row>
    <row r="182" spans="1:25" ht="16.8" hidden="1">
      <c r="A182" s="300"/>
      <c r="B182" s="300"/>
      <c r="C182" s="300"/>
      <c r="D182" s="300"/>
      <c r="E182" s="300"/>
      <c r="F182" s="300"/>
      <c r="G182" s="300"/>
      <c r="H182" s="300"/>
      <c r="I182" s="300"/>
      <c r="J182" s="300"/>
      <c r="K182" s="300"/>
      <c r="L182" s="300"/>
      <c r="M182" s="300"/>
      <c r="N182" s="300"/>
      <c r="O182" s="300"/>
      <c r="P182" s="300"/>
      <c r="Q182" s="300"/>
      <c r="R182" s="300"/>
      <c r="S182" s="300"/>
      <c r="T182" s="300"/>
      <c r="U182" s="300"/>
      <c r="V182" s="300"/>
      <c r="W182" s="300"/>
      <c r="X182" s="300"/>
      <c r="Y182" s="300"/>
    </row>
    <row r="183" spans="1:25" ht="16.8" hidden="1">
      <c r="A183" s="300"/>
      <c r="B183" s="300"/>
      <c r="C183" s="300"/>
      <c r="D183" s="300"/>
      <c r="E183" s="300"/>
      <c r="F183" s="300"/>
      <c r="G183" s="300"/>
      <c r="H183" s="300"/>
      <c r="I183" s="300"/>
      <c r="J183" s="300"/>
      <c r="K183" s="300"/>
      <c r="L183" s="300"/>
      <c r="M183" s="300"/>
      <c r="N183" s="300"/>
      <c r="O183" s="300"/>
      <c r="P183" s="300"/>
      <c r="Q183" s="300"/>
      <c r="R183" s="300"/>
      <c r="S183" s="300"/>
      <c r="T183" s="300"/>
      <c r="U183" s="300"/>
      <c r="V183" s="300"/>
      <c r="W183" s="300"/>
      <c r="X183" s="300"/>
      <c r="Y183" s="300"/>
    </row>
    <row r="184" spans="1:25" ht="16.8" hidden="1">
      <c r="A184" s="300"/>
      <c r="B184" s="300"/>
      <c r="C184" s="300"/>
      <c r="D184" s="300"/>
      <c r="E184" s="300"/>
      <c r="F184" s="300"/>
      <c r="G184" s="300"/>
      <c r="H184" s="300"/>
      <c r="I184" s="300"/>
      <c r="J184" s="300"/>
      <c r="K184" s="300"/>
      <c r="L184" s="300"/>
      <c r="M184" s="300"/>
      <c r="N184" s="300"/>
      <c r="O184" s="300"/>
      <c r="P184" s="300"/>
      <c r="Q184" s="300"/>
      <c r="R184" s="300"/>
      <c r="S184" s="300"/>
      <c r="T184" s="300"/>
      <c r="U184" s="300"/>
      <c r="V184" s="300"/>
      <c r="W184" s="300"/>
      <c r="X184" s="300"/>
      <c r="Y184" s="300"/>
    </row>
    <row r="185" spans="1:25" ht="16.8" hidden="1">
      <c r="A185" s="300"/>
      <c r="B185" s="300"/>
      <c r="C185" s="300"/>
      <c r="D185" s="300"/>
      <c r="E185" s="300"/>
      <c r="F185" s="300"/>
      <c r="G185" s="300"/>
      <c r="H185" s="300"/>
      <c r="I185" s="300"/>
      <c r="J185" s="300"/>
      <c r="K185" s="300"/>
      <c r="L185" s="300"/>
      <c r="M185" s="300"/>
      <c r="N185" s="300"/>
      <c r="O185" s="300"/>
      <c r="P185" s="300"/>
      <c r="Q185" s="300"/>
      <c r="R185" s="300"/>
      <c r="S185" s="300"/>
      <c r="T185" s="300"/>
      <c r="U185" s="300"/>
      <c r="V185" s="300"/>
      <c r="W185" s="300"/>
      <c r="X185" s="300"/>
      <c r="Y185" s="300"/>
    </row>
    <row r="186" spans="1:25" ht="16.8" hidden="1">
      <c r="A186" s="300"/>
      <c r="B186" s="300"/>
      <c r="C186" s="300"/>
      <c r="D186" s="300"/>
      <c r="E186" s="300"/>
      <c r="F186" s="300"/>
      <c r="G186" s="300"/>
      <c r="H186" s="300"/>
      <c r="I186" s="300"/>
      <c r="J186" s="300"/>
      <c r="K186" s="300"/>
      <c r="L186" s="300"/>
      <c r="M186" s="300"/>
      <c r="N186" s="300"/>
      <c r="O186" s="300"/>
      <c r="P186" s="300"/>
      <c r="Q186" s="300"/>
      <c r="R186" s="300"/>
      <c r="S186" s="300"/>
      <c r="T186" s="300"/>
      <c r="U186" s="300"/>
      <c r="V186" s="300"/>
      <c r="W186" s="300"/>
      <c r="X186" s="300"/>
      <c r="Y186" s="300"/>
    </row>
    <row r="187" spans="1:25" ht="16.8" hidden="1">
      <c r="A187" s="300"/>
      <c r="B187" s="300"/>
      <c r="C187" s="300"/>
      <c r="D187" s="300"/>
      <c r="E187" s="300"/>
      <c r="F187" s="300"/>
      <c r="G187" s="300"/>
      <c r="H187" s="300"/>
      <c r="I187" s="300"/>
      <c r="J187" s="300"/>
      <c r="K187" s="300"/>
      <c r="L187" s="300"/>
      <c r="M187" s="300"/>
      <c r="N187" s="300"/>
      <c r="O187" s="300"/>
      <c r="P187" s="300"/>
      <c r="Q187" s="300"/>
      <c r="R187" s="300"/>
      <c r="S187" s="300"/>
      <c r="T187" s="300"/>
      <c r="U187" s="300"/>
      <c r="V187" s="300"/>
      <c r="W187" s="300"/>
      <c r="X187" s="300"/>
      <c r="Y187" s="300"/>
    </row>
    <row r="188" spans="1:25" ht="16.8" hidden="1">
      <c r="A188" s="300"/>
      <c r="B188" s="300"/>
      <c r="C188" s="300"/>
      <c r="D188" s="300"/>
      <c r="E188" s="300"/>
      <c r="F188" s="300"/>
      <c r="G188" s="300"/>
      <c r="H188" s="300"/>
      <c r="I188" s="300"/>
      <c r="J188" s="300"/>
      <c r="K188" s="300"/>
      <c r="L188" s="300"/>
      <c r="M188" s="300"/>
      <c r="N188" s="300"/>
      <c r="O188" s="300"/>
      <c r="P188" s="300"/>
      <c r="Q188" s="300"/>
      <c r="R188" s="300"/>
      <c r="S188" s="300"/>
      <c r="T188" s="300"/>
      <c r="U188" s="300"/>
      <c r="V188" s="300"/>
      <c r="W188" s="300"/>
      <c r="X188" s="300"/>
      <c r="Y188" s="300"/>
    </row>
    <row r="189" spans="1:25" ht="16.8" hidden="1">
      <c r="A189" s="300"/>
      <c r="B189" s="300"/>
      <c r="C189" s="300"/>
      <c r="D189" s="300"/>
      <c r="E189" s="300"/>
      <c r="F189" s="300"/>
      <c r="G189" s="300"/>
      <c r="H189" s="300"/>
      <c r="I189" s="300"/>
      <c r="J189" s="300"/>
      <c r="K189" s="300"/>
      <c r="L189" s="300"/>
      <c r="M189" s="300"/>
      <c r="N189" s="300"/>
      <c r="O189" s="300"/>
      <c r="P189" s="300"/>
      <c r="Q189" s="300"/>
      <c r="R189" s="300"/>
      <c r="S189" s="300"/>
      <c r="T189" s="300"/>
      <c r="U189" s="300"/>
      <c r="V189" s="300"/>
      <c r="W189" s="300"/>
      <c r="X189" s="300"/>
      <c r="Y189" s="300"/>
    </row>
    <row r="190" spans="1:25" ht="16.8" hidden="1">
      <c r="A190" s="300"/>
      <c r="B190" s="300"/>
      <c r="C190" s="300"/>
      <c r="D190" s="300"/>
      <c r="E190" s="300"/>
      <c r="F190" s="300"/>
      <c r="G190" s="300"/>
      <c r="H190" s="300"/>
      <c r="I190" s="300"/>
      <c r="J190" s="300"/>
      <c r="K190" s="300"/>
      <c r="L190" s="300"/>
      <c r="M190" s="300"/>
      <c r="N190" s="300"/>
      <c r="O190" s="300"/>
      <c r="P190" s="300"/>
      <c r="Q190" s="300"/>
      <c r="R190" s="300"/>
      <c r="S190" s="300"/>
      <c r="T190" s="300"/>
      <c r="U190" s="300"/>
      <c r="V190" s="300"/>
      <c r="W190" s="300"/>
      <c r="X190" s="300"/>
      <c r="Y190" s="300"/>
    </row>
    <row r="191" spans="1:25" ht="16.8" hidden="1">
      <c r="A191" s="300"/>
      <c r="B191" s="300"/>
      <c r="C191" s="300"/>
      <c r="D191" s="300"/>
      <c r="E191" s="300"/>
      <c r="F191" s="300"/>
      <c r="G191" s="300"/>
      <c r="H191" s="300"/>
      <c r="I191" s="300"/>
      <c r="J191" s="300"/>
      <c r="K191" s="300"/>
      <c r="L191" s="300"/>
      <c r="M191" s="300"/>
      <c r="N191" s="300"/>
      <c r="O191" s="300"/>
      <c r="P191" s="300"/>
      <c r="Q191" s="300"/>
      <c r="R191" s="300"/>
      <c r="S191" s="300"/>
      <c r="T191" s="300"/>
      <c r="U191" s="300"/>
      <c r="V191" s="300"/>
      <c r="W191" s="300"/>
      <c r="X191" s="300"/>
      <c r="Y191" s="300"/>
    </row>
    <row r="192" spans="1:25" ht="16.8" hidden="1">
      <c r="A192" s="300"/>
      <c r="B192" s="300"/>
      <c r="C192" s="300"/>
      <c r="D192" s="300"/>
      <c r="E192" s="300"/>
      <c r="F192" s="300"/>
      <c r="G192" s="300"/>
      <c r="H192" s="300"/>
      <c r="I192" s="300"/>
      <c r="J192" s="300"/>
      <c r="K192" s="300"/>
      <c r="L192" s="300"/>
      <c r="M192" s="300"/>
      <c r="N192" s="300"/>
      <c r="O192" s="300"/>
      <c r="P192" s="300"/>
      <c r="Q192" s="300"/>
      <c r="R192" s="300"/>
      <c r="S192" s="300"/>
      <c r="T192" s="300"/>
      <c r="U192" s="300"/>
      <c r="V192" s="300"/>
      <c r="W192" s="300"/>
      <c r="X192" s="300"/>
      <c r="Y192" s="300"/>
    </row>
    <row r="193" spans="1:25" ht="16.8" hidden="1">
      <c r="A193" s="300"/>
      <c r="B193" s="300"/>
      <c r="C193" s="300"/>
      <c r="D193" s="300"/>
      <c r="E193" s="300"/>
      <c r="F193" s="300"/>
      <c r="G193" s="300"/>
      <c r="H193" s="300"/>
      <c r="I193" s="300"/>
      <c r="J193" s="300"/>
      <c r="K193" s="300"/>
      <c r="L193" s="300"/>
      <c r="M193" s="300"/>
      <c r="N193" s="300"/>
      <c r="O193" s="300"/>
      <c r="P193" s="300"/>
      <c r="Q193" s="300"/>
      <c r="R193" s="300"/>
      <c r="S193" s="300"/>
      <c r="T193" s="300"/>
      <c r="U193" s="300"/>
      <c r="V193" s="300"/>
      <c r="W193" s="300"/>
      <c r="X193" s="300"/>
      <c r="Y193" s="300"/>
    </row>
    <row r="194" spans="1:25" ht="16.8" hidden="1">
      <c r="A194" s="300"/>
      <c r="B194" s="300"/>
      <c r="C194" s="300"/>
      <c r="D194" s="300"/>
      <c r="E194" s="300"/>
      <c r="F194" s="300"/>
      <c r="G194" s="300"/>
      <c r="H194" s="300"/>
      <c r="I194" s="300"/>
      <c r="J194" s="300"/>
      <c r="K194" s="300"/>
      <c r="L194" s="300"/>
      <c r="M194" s="300"/>
      <c r="N194" s="300"/>
      <c r="O194" s="300"/>
      <c r="P194" s="300"/>
      <c r="Q194" s="300"/>
      <c r="R194" s="300"/>
      <c r="S194" s="300"/>
      <c r="T194" s="300"/>
      <c r="U194" s="300"/>
      <c r="V194" s="300"/>
      <c r="W194" s="300"/>
      <c r="X194" s="300"/>
      <c r="Y194" s="300"/>
    </row>
    <row r="195" spans="1:25" ht="16.8" hidden="1">
      <c r="A195" s="300"/>
      <c r="B195" s="300"/>
      <c r="C195" s="300"/>
      <c r="D195" s="300"/>
      <c r="E195" s="300"/>
      <c r="F195" s="300"/>
      <c r="G195" s="300"/>
      <c r="H195" s="300"/>
      <c r="I195" s="300"/>
      <c r="J195" s="300"/>
      <c r="K195" s="300"/>
      <c r="L195" s="300"/>
      <c r="M195" s="300"/>
      <c r="N195" s="300"/>
      <c r="O195" s="300"/>
      <c r="P195" s="300"/>
      <c r="Q195" s="300"/>
      <c r="R195" s="300"/>
      <c r="S195" s="300"/>
      <c r="T195" s="300"/>
      <c r="U195" s="300"/>
      <c r="V195" s="300"/>
      <c r="W195" s="300"/>
      <c r="X195" s="300"/>
      <c r="Y195" s="300"/>
    </row>
    <row r="196" spans="1:25" ht="16.8" hidden="1">
      <c r="A196" s="300"/>
      <c r="B196" s="300"/>
      <c r="C196" s="300"/>
      <c r="D196" s="300"/>
      <c r="E196" s="300"/>
      <c r="F196" s="300"/>
      <c r="G196" s="300"/>
      <c r="H196" s="300"/>
      <c r="I196" s="300"/>
      <c r="J196" s="300"/>
      <c r="K196" s="300"/>
      <c r="L196" s="300"/>
      <c r="M196" s="300"/>
      <c r="N196" s="300"/>
      <c r="O196" s="300"/>
      <c r="P196" s="300"/>
      <c r="Q196" s="300"/>
      <c r="R196" s="300"/>
      <c r="S196" s="300"/>
      <c r="T196" s="300"/>
      <c r="U196" s="300"/>
      <c r="V196" s="300"/>
      <c r="W196" s="300"/>
      <c r="X196" s="300"/>
      <c r="Y196" s="300"/>
    </row>
    <row r="197" spans="1:25" ht="16.8" hidden="1">
      <c r="A197" s="300"/>
      <c r="B197" s="300"/>
      <c r="C197" s="300"/>
      <c r="D197" s="300"/>
      <c r="E197" s="300"/>
      <c r="F197" s="300"/>
      <c r="G197" s="300"/>
      <c r="H197" s="300"/>
      <c r="I197" s="300"/>
      <c r="J197" s="300"/>
      <c r="K197" s="300"/>
      <c r="L197" s="300"/>
      <c r="M197" s="300"/>
      <c r="N197" s="300"/>
      <c r="O197" s="300"/>
      <c r="P197" s="300"/>
      <c r="Q197" s="300"/>
      <c r="R197" s="300"/>
      <c r="S197" s="300"/>
      <c r="T197" s="300"/>
      <c r="U197" s="300"/>
      <c r="V197" s="300"/>
      <c r="W197" s="300"/>
      <c r="X197" s="300"/>
      <c r="Y197" s="300"/>
    </row>
    <row r="198" spans="1:25" ht="16.8" hidden="1">
      <c r="A198" s="300"/>
      <c r="B198" s="300"/>
      <c r="C198" s="300"/>
      <c r="D198" s="300"/>
      <c r="E198" s="300"/>
      <c r="F198" s="300"/>
      <c r="G198" s="300"/>
      <c r="H198" s="300"/>
      <c r="I198" s="300"/>
      <c r="J198" s="300"/>
      <c r="K198" s="300"/>
      <c r="L198" s="300"/>
      <c r="M198" s="300"/>
      <c r="N198" s="300"/>
      <c r="O198" s="300"/>
      <c r="P198" s="300"/>
      <c r="Q198" s="300"/>
      <c r="R198" s="300"/>
      <c r="S198" s="300"/>
      <c r="T198" s="300"/>
      <c r="U198" s="300"/>
      <c r="V198" s="300"/>
      <c r="W198" s="300"/>
      <c r="X198" s="300"/>
      <c r="Y198" s="300"/>
    </row>
    <row r="199" spans="1:25" ht="16.8" hidden="1">
      <c r="A199" s="300"/>
      <c r="B199" s="300"/>
      <c r="C199" s="300"/>
      <c r="D199" s="300"/>
      <c r="E199" s="300"/>
      <c r="F199" s="300"/>
      <c r="G199" s="300"/>
      <c r="H199" s="300"/>
      <c r="I199" s="300"/>
      <c r="J199" s="300"/>
      <c r="K199" s="300"/>
      <c r="L199" s="300"/>
      <c r="M199" s="300"/>
      <c r="N199" s="300"/>
      <c r="O199" s="300"/>
      <c r="P199" s="300"/>
      <c r="Q199" s="300"/>
      <c r="R199" s="300"/>
      <c r="S199" s="300"/>
      <c r="T199" s="300"/>
      <c r="U199" s="300"/>
      <c r="V199" s="300"/>
      <c r="W199" s="300"/>
      <c r="X199" s="300"/>
      <c r="Y199" s="300"/>
    </row>
    <row r="200" spans="1:25" ht="16.8" hidden="1">
      <c r="A200" s="300"/>
      <c r="B200" s="300"/>
      <c r="C200" s="300"/>
      <c r="D200" s="300"/>
      <c r="E200" s="300"/>
      <c r="F200" s="300"/>
      <c r="G200" s="300"/>
      <c r="H200" s="300"/>
      <c r="I200" s="300"/>
      <c r="J200" s="300"/>
      <c r="K200" s="300"/>
      <c r="L200" s="300"/>
      <c r="M200" s="300"/>
      <c r="N200" s="300"/>
      <c r="O200" s="300"/>
      <c r="P200" s="300"/>
      <c r="Q200" s="300"/>
      <c r="R200" s="300"/>
      <c r="S200" s="300"/>
      <c r="T200" s="300"/>
      <c r="U200" s="300"/>
      <c r="V200" s="300"/>
      <c r="W200" s="300"/>
      <c r="X200" s="300"/>
      <c r="Y200" s="300"/>
    </row>
    <row r="201" spans="1:25" ht="16.8" hidden="1">
      <c r="A201" s="300"/>
      <c r="B201" s="300"/>
      <c r="C201" s="300"/>
      <c r="D201" s="300"/>
      <c r="E201" s="300"/>
      <c r="F201" s="300"/>
      <c r="G201" s="300"/>
      <c r="H201" s="300"/>
      <c r="I201" s="300"/>
      <c r="J201" s="300"/>
      <c r="K201" s="300"/>
      <c r="L201" s="300"/>
      <c r="M201" s="300"/>
      <c r="N201" s="300"/>
      <c r="O201" s="300"/>
      <c r="P201" s="300"/>
      <c r="Q201" s="300"/>
      <c r="R201" s="300"/>
      <c r="S201" s="300"/>
      <c r="T201" s="300"/>
      <c r="U201" s="300"/>
      <c r="V201" s="300"/>
      <c r="W201" s="300"/>
      <c r="X201" s="300"/>
      <c r="Y201" s="300"/>
    </row>
    <row r="202" spans="1:25" ht="16.8" hidden="1">
      <c r="A202" s="300"/>
      <c r="B202" s="300"/>
      <c r="C202" s="300"/>
      <c r="D202" s="300"/>
      <c r="E202" s="300"/>
      <c r="F202" s="300"/>
      <c r="G202" s="300"/>
      <c r="H202" s="300"/>
      <c r="I202" s="300"/>
      <c r="J202" s="300"/>
      <c r="K202" s="300"/>
      <c r="L202" s="300"/>
      <c r="M202" s="300"/>
      <c r="N202" s="300"/>
      <c r="O202" s="300"/>
      <c r="P202" s="300"/>
      <c r="Q202" s="300"/>
      <c r="R202" s="300"/>
      <c r="S202" s="300"/>
      <c r="T202" s="300"/>
      <c r="U202" s="300"/>
      <c r="V202" s="300"/>
      <c r="W202" s="300"/>
      <c r="X202" s="300"/>
      <c r="Y202" s="300"/>
    </row>
    <row r="203" spans="1:25" ht="16.8" hidden="1">
      <c r="A203" s="300"/>
      <c r="B203" s="300"/>
      <c r="C203" s="300"/>
      <c r="D203" s="300"/>
      <c r="E203" s="300"/>
      <c r="F203" s="300"/>
      <c r="G203" s="300"/>
      <c r="H203" s="300"/>
      <c r="I203" s="300"/>
      <c r="J203" s="300"/>
      <c r="K203" s="300"/>
      <c r="L203" s="300"/>
      <c r="M203" s="300"/>
      <c r="N203" s="300"/>
      <c r="O203" s="300"/>
      <c r="P203" s="300"/>
      <c r="Q203" s="300"/>
      <c r="R203" s="300"/>
      <c r="S203" s="300"/>
      <c r="T203" s="300"/>
      <c r="U203" s="300"/>
      <c r="V203" s="300"/>
      <c r="W203" s="300"/>
      <c r="X203" s="300"/>
      <c r="Y203" s="300"/>
    </row>
    <row r="204" spans="1:25" ht="16.8" hidden="1">
      <c r="A204" s="300"/>
      <c r="B204" s="300"/>
      <c r="C204" s="300"/>
      <c r="D204" s="300"/>
      <c r="E204" s="300"/>
      <c r="F204" s="300"/>
      <c r="G204" s="300"/>
      <c r="H204" s="300"/>
      <c r="I204" s="300"/>
      <c r="J204" s="300"/>
      <c r="K204" s="300"/>
      <c r="L204" s="300"/>
      <c r="M204" s="300"/>
      <c r="N204" s="300"/>
      <c r="O204" s="300"/>
      <c r="P204" s="300"/>
      <c r="Q204" s="300"/>
      <c r="R204" s="300"/>
      <c r="S204" s="300"/>
      <c r="T204" s="300"/>
      <c r="U204" s="300"/>
      <c r="V204" s="300"/>
      <c r="W204" s="300"/>
      <c r="X204" s="300"/>
      <c r="Y204" s="300"/>
    </row>
    <row r="205" spans="1:25" ht="16.8" hidden="1">
      <c r="A205" s="300"/>
      <c r="B205" s="300"/>
      <c r="C205" s="300"/>
      <c r="D205" s="300"/>
      <c r="E205" s="300"/>
      <c r="F205" s="300"/>
      <c r="G205" s="300"/>
      <c r="H205" s="300"/>
      <c r="I205" s="300"/>
      <c r="J205" s="300"/>
      <c r="K205" s="300"/>
      <c r="L205" s="300"/>
      <c r="M205" s="300"/>
      <c r="N205" s="300"/>
      <c r="O205" s="300"/>
      <c r="P205" s="300"/>
      <c r="Q205" s="300"/>
      <c r="R205" s="300"/>
      <c r="S205" s="300"/>
      <c r="T205" s="300"/>
      <c r="U205" s="300"/>
      <c r="V205" s="300"/>
      <c r="W205" s="300"/>
      <c r="X205" s="300"/>
      <c r="Y205" s="300"/>
    </row>
    <row r="206" spans="1:25" ht="16.8" hidden="1">
      <c r="A206" s="300"/>
      <c r="B206" s="300"/>
      <c r="C206" s="300"/>
      <c r="D206" s="300"/>
      <c r="E206" s="300"/>
      <c r="F206" s="300"/>
      <c r="G206" s="300"/>
      <c r="H206" s="300"/>
      <c r="I206" s="300"/>
      <c r="J206" s="300"/>
      <c r="K206" s="300"/>
      <c r="L206" s="300"/>
      <c r="M206" s="300"/>
      <c r="N206" s="300"/>
      <c r="O206" s="300"/>
      <c r="P206" s="300"/>
      <c r="Q206" s="300"/>
      <c r="R206" s="300"/>
      <c r="S206" s="300"/>
      <c r="T206" s="300"/>
      <c r="U206" s="300"/>
      <c r="V206" s="300"/>
      <c r="W206" s="300"/>
      <c r="X206" s="300"/>
      <c r="Y206" s="300"/>
    </row>
    <row r="207" spans="1:25" ht="16.8" hidden="1">
      <c r="A207" s="300"/>
      <c r="B207" s="300"/>
      <c r="C207" s="300"/>
      <c r="D207" s="300"/>
      <c r="E207" s="300"/>
      <c r="F207" s="300"/>
      <c r="G207" s="300"/>
      <c r="H207" s="300"/>
      <c r="I207" s="300"/>
      <c r="J207" s="300"/>
      <c r="K207" s="300"/>
      <c r="L207" s="300"/>
      <c r="M207" s="300"/>
      <c r="N207" s="300"/>
      <c r="O207" s="300"/>
      <c r="P207" s="300"/>
      <c r="Q207" s="300"/>
      <c r="R207" s="300"/>
      <c r="S207" s="300"/>
      <c r="T207" s="300"/>
      <c r="U207" s="300"/>
      <c r="V207" s="300"/>
      <c r="W207" s="300"/>
      <c r="X207" s="300"/>
      <c r="Y207" s="300"/>
    </row>
    <row r="208" spans="1:25" ht="16.8" hidden="1">
      <c r="A208" s="300"/>
      <c r="B208" s="300"/>
      <c r="C208" s="300"/>
      <c r="D208" s="300"/>
      <c r="E208" s="300"/>
      <c r="F208" s="300"/>
      <c r="G208" s="300"/>
      <c r="H208" s="300"/>
      <c r="I208" s="300"/>
      <c r="J208" s="300"/>
      <c r="K208" s="300"/>
      <c r="L208" s="300"/>
      <c r="M208" s="300"/>
      <c r="N208" s="300"/>
      <c r="O208" s="300"/>
      <c r="P208" s="300"/>
      <c r="Q208" s="300"/>
      <c r="R208" s="300"/>
      <c r="S208" s="300"/>
      <c r="T208" s="300"/>
      <c r="U208" s="300"/>
      <c r="V208" s="300"/>
      <c r="W208" s="300"/>
      <c r="X208" s="300"/>
      <c r="Y208" s="300"/>
    </row>
    <row r="209" spans="1:25" ht="16.8" hidden="1">
      <c r="A209" s="300"/>
      <c r="B209" s="300"/>
      <c r="C209" s="300"/>
      <c r="D209" s="300"/>
      <c r="E209" s="300"/>
      <c r="F209" s="300"/>
      <c r="G209" s="300"/>
      <c r="H209" s="300"/>
      <c r="I209" s="300"/>
      <c r="J209" s="300"/>
      <c r="K209" s="300"/>
      <c r="L209" s="300"/>
      <c r="M209" s="300"/>
      <c r="N209" s="300"/>
      <c r="O209" s="300"/>
      <c r="P209" s="300"/>
      <c r="Q209" s="300"/>
      <c r="R209" s="300"/>
      <c r="S209" s="300"/>
      <c r="T209" s="300"/>
      <c r="U209" s="300"/>
      <c r="V209" s="300"/>
      <c r="W209" s="300"/>
      <c r="X209" s="300"/>
      <c r="Y209" s="300"/>
    </row>
    <row r="210" spans="1:25" ht="16.8" hidden="1">
      <c r="A210" s="300"/>
      <c r="B210" s="300"/>
      <c r="C210" s="300"/>
      <c r="D210" s="300"/>
      <c r="E210" s="300"/>
      <c r="F210" s="300"/>
      <c r="G210" s="300"/>
      <c r="H210" s="300"/>
      <c r="I210" s="300"/>
      <c r="J210" s="300"/>
      <c r="K210" s="300"/>
      <c r="L210" s="300"/>
      <c r="M210" s="300"/>
      <c r="N210" s="300"/>
      <c r="O210" s="300"/>
      <c r="P210" s="300"/>
      <c r="Q210" s="300"/>
      <c r="R210" s="300"/>
      <c r="S210" s="300"/>
      <c r="T210" s="300"/>
      <c r="U210" s="300"/>
      <c r="V210" s="300"/>
      <c r="W210" s="300"/>
      <c r="X210" s="300"/>
      <c r="Y210" s="300"/>
    </row>
    <row r="211" spans="1:25" ht="16.8" hidden="1">
      <c r="A211" s="300"/>
      <c r="B211" s="300"/>
      <c r="C211" s="300"/>
      <c r="D211" s="300"/>
      <c r="E211" s="300"/>
      <c r="F211" s="300"/>
      <c r="G211" s="300"/>
      <c r="H211" s="300"/>
      <c r="I211" s="300"/>
      <c r="J211" s="300"/>
      <c r="K211" s="300"/>
      <c r="L211" s="300"/>
      <c r="M211" s="300"/>
      <c r="N211" s="300"/>
      <c r="O211" s="300"/>
      <c r="P211" s="300"/>
      <c r="Q211" s="300"/>
      <c r="R211" s="300"/>
      <c r="S211" s="300"/>
      <c r="T211" s="300"/>
      <c r="U211" s="300"/>
      <c r="V211" s="300"/>
      <c r="W211" s="300"/>
      <c r="X211" s="300"/>
      <c r="Y211" s="300"/>
    </row>
    <row r="212" spans="1:25" ht="16.8" hidden="1">
      <c r="A212" s="300"/>
      <c r="B212" s="300"/>
      <c r="C212" s="300"/>
      <c r="D212" s="300"/>
      <c r="E212" s="300"/>
      <c r="F212" s="300"/>
      <c r="G212" s="300"/>
      <c r="H212" s="300"/>
      <c r="I212" s="300"/>
      <c r="J212" s="300"/>
      <c r="K212" s="300"/>
      <c r="L212" s="300"/>
      <c r="M212" s="300"/>
      <c r="N212" s="300"/>
      <c r="O212" s="300"/>
      <c r="P212" s="300"/>
      <c r="Q212" s="300"/>
      <c r="R212" s="300"/>
      <c r="S212" s="300"/>
      <c r="T212" s="300"/>
      <c r="U212" s="300"/>
      <c r="V212" s="300"/>
      <c r="W212" s="300"/>
      <c r="X212" s="300"/>
      <c r="Y212" s="300"/>
    </row>
    <row r="213" spans="1:25" ht="16.8" hidden="1">
      <c r="A213" s="300"/>
      <c r="B213" s="300"/>
      <c r="C213" s="300"/>
      <c r="D213" s="300"/>
      <c r="E213" s="300"/>
      <c r="F213" s="300"/>
      <c r="G213" s="300"/>
      <c r="H213" s="300"/>
      <c r="I213" s="300"/>
      <c r="J213" s="300"/>
      <c r="K213" s="300"/>
      <c r="L213" s="300"/>
      <c r="M213" s="300"/>
      <c r="N213" s="300"/>
      <c r="O213" s="300"/>
      <c r="P213" s="300"/>
      <c r="Q213" s="300"/>
      <c r="R213" s="300"/>
      <c r="S213" s="300"/>
      <c r="T213" s="300"/>
      <c r="U213" s="300"/>
      <c r="V213" s="300"/>
      <c r="W213" s="300"/>
      <c r="X213" s="300"/>
      <c r="Y213" s="300"/>
    </row>
    <row r="214" spans="1:25" ht="16.8" hidden="1">
      <c r="A214" s="300"/>
      <c r="B214" s="300"/>
      <c r="C214" s="300"/>
      <c r="D214" s="300"/>
      <c r="E214" s="300"/>
      <c r="F214" s="300"/>
      <c r="G214" s="300"/>
      <c r="H214" s="300"/>
      <c r="I214" s="300"/>
      <c r="J214" s="300"/>
      <c r="K214" s="300"/>
      <c r="L214" s="300"/>
      <c r="M214" s="300"/>
      <c r="N214" s="300"/>
      <c r="O214" s="300"/>
      <c r="P214" s="300"/>
      <c r="Q214" s="300"/>
      <c r="R214" s="300"/>
      <c r="S214" s="300"/>
      <c r="T214" s="300"/>
      <c r="U214" s="300"/>
      <c r="V214" s="300"/>
      <c r="W214" s="300"/>
      <c r="X214" s="300"/>
      <c r="Y214" s="300"/>
    </row>
    <row r="215" spans="1:25" ht="16.8" hidden="1">
      <c r="A215" s="300"/>
      <c r="B215" s="300"/>
      <c r="C215" s="300"/>
      <c r="D215" s="300"/>
      <c r="E215" s="300"/>
      <c r="F215" s="300"/>
      <c r="G215" s="300"/>
      <c r="H215" s="300"/>
      <c r="I215" s="300"/>
      <c r="J215" s="300"/>
      <c r="K215" s="300"/>
      <c r="L215" s="300"/>
      <c r="M215" s="300"/>
      <c r="N215" s="300"/>
      <c r="O215" s="300"/>
      <c r="P215" s="300"/>
      <c r="Q215" s="300"/>
      <c r="R215" s="300"/>
      <c r="S215" s="300"/>
      <c r="T215" s="300"/>
      <c r="U215" s="300"/>
      <c r="V215" s="300"/>
      <c r="W215" s="300"/>
      <c r="X215" s="300"/>
      <c r="Y215" s="300"/>
    </row>
    <row r="216" spans="1:25" ht="16.8" hidden="1">
      <c r="A216" s="300"/>
      <c r="B216" s="300"/>
      <c r="C216" s="300"/>
      <c r="D216" s="300"/>
      <c r="E216" s="300"/>
      <c r="F216" s="300"/>
      <c r="G216" s="300"/>
      <c r="H216" s="300"/>
      <c r="I216" s="300"/>
      <c r="J216" s="300"/>
      <c r="K216" s="300"/>
      <c r="L216" s="300"/>
      <c r="M216" s="300"/>
      <c r="N216" s="300"/>
      <c r="O216" s="300"/>
      <c r="P216" s="300"/>
      <c r="Q216" s="300"/>
      <c r="R216" s="300"/>
      <c r="S216" s="300"/>
      <c r="T216" s="300"/>
      <c r="U216" s="300"/>
      <c r="V216" s="300"/>
      <c r="W216" s="300"/>
      <c r="X216" s="300"/>
      <c r="Y216" s="300"/>
    </row>
    <row r="217" spans="1:25" ht="16.8" hidden="1">
      <c r="A217" s="300"/>
      <c r="B217" s="300"/>
      <c r="C217" s="300"/>
      <c r="D217" s="300"/>
      <c r="E217" s="300"/>
      <c r="F217" s="300"/>
      <c r="G217" s="300"/>
      <c r="H217" s="300"/>
      <c r="I217" s="300"/>
      <c r="J217" s="300"/>
      <c r="K217" s="300"/>
      <c r="L217" s="300"/>
      <c r="M217" s="300"/>
      <c r="N217" s="300"/>
      <c r="O217" s="300"/>
      <c r="P217" s="300"/>
      <c r="Q217" s="300"/>
      <c r="R217" s="300"/>
      <c r="S217" s="300"/>
      <c r="T217" s="300"/>
      <c r="U217" s="300"/>
      <c r="V217" s="300"/>
      <c r="W217" s="300"/>
      <c r="X217" s="300"/>
      <c r="Y217" s="300"/>
    </row>
    <row r="218" spans="1:25" ht="16.8" hidden="1">
      <c r="A218" s="300"/>
      <c r="B218" s="300"/>
      <c r="C218" s="300"/>
      <c r="D218" s="300"/>
      <c r="E218" s="300"/>
      <c r="F218" s="300"/>
      <c r="G218" s="300"/>
      <c r="H218" s="300"/>
      <c r="I218" s="300"/>
      <c r="J218" s="300"/>
      <c r="K218" s="300"/>
      <c r="L218" s="300"/>
      <c r="M218" s="300"/>
      <c r="N218" s="300"/>
      <c r="O218" s="300"/>
      <c r="P218" s="300"/>
      <c r="Q218" s="300"/>
      <c r="R218" s="300"/>
      <c r="S218" s="300"/>
      <c r="T218" s="300"/>
      <c r="U218" s="300"/>
      <c r="V218" s="300"/>
      <c r="W218" s="300"/>
      <c r="X218" s="300"/>
      <c r="Y218" s="300"/>
    </row>
    <row r="219" spans="1:25" ht="16.8" hidden="1">
      <c r="A219" s="300"/>
      <c r="B219" s="300"/>
      <c r="C219" s="300"/>
      <c r="D219" s="300"/>
      <c r="E219" s="300"/>
      <c r="F219" s="300"/>
      <c r="G219" s="300"/>
      <c r="H219" s="300"/>
      <c r="I219" s="300"/>
      <c r="J219" s="300"/>
      <c r="K219" s="300"/>
      <c r="L219" s="300"/>
      <c r="M219" s="300"/>
      <c r="N219" s="300"/>
      <c r="O219" s="300"/>
      <c r="P219" s="300"/>
      <c r="Q219" s="300"/>
      <c r="R219" s="300"/>
      <c r="S219" s="300"/>
      <c r="T219" s="300"/>
      <c r="U219" s="300"/>
      <c r="V219" s="300"/>
      <c r="W219" s="300"/>
      <c r="X219" s="300"/>
      <c r="Y219" s="300"/>
    </row>
    <row r="220" spans="1:25" ht="16.8" hidden="1">
      <c r="A220" s="300"/>
      <c r="B220" s="300"/>
      <c r="C220" s="300"/>
      <c r="D220" s="300"/>
      <c r="E220" s="300"/>
      <c r="F220" s="300"/>
      <c r="G220" s="300"/>
      <c r="H220" s="300"/>
      <c r="I220" s="300"/>
      <c r="J220" s="300"/>
      <c r="K220" s="300"/>
      <c r="L220" s="300"/>
      <c r="M220" s="300"/>
      <c r="N220" s="300"/>
      <c r="O220" s="300"/>
      <c r="P220" s="300"/>
      <c r="Q220" s="300"/>
      <c r="R220" s="300"/>
      <c r="S220" s="300"/>
      <c r="T220" s="300"/>
      <c r="U220" s="300"/>
      <c r="V220" s="300"/>
      <c r="W220" s="300"/>
      <c r="X220" s="300"/>
      <c r="Y220" s="300"/>
    </row>
    <row r="221" spans="1:25" ht="16.8" hidden="1">
      <c r="A221" s="300"/>
      <c r="B221" s="300"/>
      <c r="C221" s="300"/>
      <c r="D221" s="300"/>
      <c r="E221" s="300"/>
      <c r="F221" s="300"/>
      <c r="G221" s="300"/>
      <c r="H221" s="300"/>
      <c r="I221" s="300"/>
      <c r="J221" s="300"/>
      <c r="K221" s="300"/>
      <c r="L221" s="300"/>
      <c r="M221" s="300"/>
      <c r="N221" s="300"/>
      <c r="O221" s="300"/>
      <c r="P221" s="300"/>
      <c r="Q221" s="300"/>
      <c r="R221" s="300"/>
      <c r="S221" s="300"/>
      <c r="T221" s="300"/>
      <c r="U221" s="300"/>
      <c r="V221" s="300"/>
      <c r="W221" s="300"/>
      <c r="X221" s="300"/>
      <c r="Y221" s="300"/>
    </row>
    <row r="222" spans="1:25" ht="16.8" hidden="1">
      <c r="A222" s="300"/>
      <c r="B222" s="300"/>
      <c r="C222" s="300"/>
      <c r="D222" s="300"/>
      <c r="E222" s="300"/>
      <c r="F222" s="300"/>
      <c r="G222" s="300"/>
      <c r="H222" s="300"/>
      <c r="I222" s="300"/>
      <c r="J222" s="300"/>
      <c r="K222" s="300"/>
      <c r="L222" s="300"/>
      <c r="M222" s="300"/>
      <c r="N222" s="300"/>
      <c r="O222" s="300"/>
      <c r="P222" s="300"/>
      <c r="Q222" s="300"/>
      <c r="R222" s="300"/>
      <c r="S222" s="300"/>
      <c r="T222" s="300"/>
      <c r="U222" s="300"/>
      <c r="V222" s="300"/>
      <c r="W222" s="300"/>
      <c r="X222" s="300"/>
      <c r="Y222" s="300"/>
    </row>
    <row r="223" spans="1:25" ht="16.8" hidden="1">
      <c r="A223" s="300"/>
      <c r="B223" s="300"/>
      <c r="C223" s="300"/>
      <c r="D223" s="300"/>
      <c r="E223" s="300"/>
      <c r="F223" s="300"/>
      <c r="G223" s="300"/>
      <c r="H223" s="300"/>
      <c r="I223" s="300"/>
      <c r="J223" s="300"/>
      <c r="K223" s="300"/>
      <c r="L223" s="300"/>
      <c r="M223" s="300"/>
      <c r="N223" s="300"/>
      <c r="O223" s="300"/>
      <c r="P223" s="300"/>
      <c r="Q223" s="300"/>
      <c r="R223" s="300"/>
      <c r="S223" s="300"/>
      <c r="T223" s="300"/>
      <c r="U223" s="300"/>
      <c r="V223" s="300"/>
      <c r="W223" s="300"/>
      <c r="X223" s="300"/>
      <c r="Y223" s="300"/>
    </row>
    <row r="224" spans="1:25" ht="16.8" hidden="1">
      <c r="A224" s="300"/>
      <c r="B224" s="300"/>
      <c r="C224" s="300"/>
      <c r="D224" s="300"/>
      <c r="E224" s="300"/>
      <c r="F224" s="300"/>
      <c r="G224" s="300"/>
      <c r="H224" s="300"/>
      <c r="I224" s="300"/>
      <c r="J224" s="300"/>
      <c r="K224" s="300"/>
      <c r="L224" s="300"/>
      <c r="M224" s="300"/>
      <c r="N224" s="300"/>
      <c r="O224" s="300"/>
      <c r="P224" s="300"/>
      <c r="Q224" s="300"/>
      <c r="R224" s="300"/>
      <c r="S224" s="300"/>
      <c r="T224" s="300"/>
      <c r="U224" s="300"/>
      <c r="V224" s="300"/>
      <c r="W224" s="300"/>
      <c r="X224" s="300"/>
      <c r="Y224" s="300"/>
    </row>
    <row r="225" spans="1:25" ht="16.8" hidden="1">
      <c r="A225" s="300"/>
      <c r="B225" s="300"/>
      <c r="C225" s="300"/>
      <c r="D225" s="300"/>
      <c r="E225" s="300"/>
      <c r="F225" s="300"/>
      <c r="G225" s="300"/>
      <c r="H225" s="300"/>
      <c r="I225" s="300"/>
      <c r="J225" s="300"/>
      <c r="K225" s="300"/>
      <c r="L225" s="300"/>
      <c r="M225" s="300"/>
      <c r="N225" s="300"/>
      <c r="O225" s="300"/>
      <c r="P225" s="300"/>
      <c r="Q225" s="300"/>
      <c r="R225" s="300"/>
      <c r="S225" s="300"/>
      <c r="T225" s="300"/>
      <c r="U225" s="300"/>
      <c r="V225" s="300"/>
      <c r="W225" s="300"/>
      <c r="X225" s="300"/>
      <c r="Y225" s="300"/>
    </row>
    <row r="226" spans="1:25" ht="16.8" hidden="1">
      <c r="A226" s="300"/>
      <c r="B226" s="300"/>
      <c r="C226" s="300"/>
      <c r="D226" s="300"/>
      <c r="E226" s="300"/>
      <c r="F226" s="300"/>
      <c r="G226" s="300"/>
      <c r="H226" s="300"/>
      <c r="I226" s="300"/>
      <c r="J226" s="300"/>
      <c r="K226" s="300"/>
      <c r="L226" s="300"/>
      <c r="M226" s="300"/>
      <c r="N226" s="300"/>
      <c r="O226" s="300"/>
      <c r="P226" s="300"/>
      <c r="Q226" s="300"/>
      <c r="R226" s="300"/>
      <c r="S226" s="300"/>
      <c r="T226" s="300"/>
      <c r="U226" s="300"/>
      <c r="V226" s="300"/>
      <c r="W226" s="300"/>
      <c r="X226" s="300"/>
      <c r="Y226" s="300"/>
    </row>
    <row r="227" spans="1:25" ht="16.8" hidden="1">
      <c r="A227" s="300"/>
      <c r="B227" s="300"/>
      <c r="C227" s="300"/>
      <c r="D227" s="300"/>
      <c r="E227" s="300"/>
      <c r="F227" s="300"/>
      <c r="G227" s="300"/>
      <c r="H227" s="300"/>
      <c r="I227" s="300"/>
      <c r="J227" s="300"/>
      <c r="K227" s="300"/>
      <c r="L227" s="300"/>
      <c r="M227" s="300"/>
      <c r="N227" s="300"/>
      <c r="O227" s="300"/>
      <c r="P227" s="300"/>
      <c r="Q227" s="300"/>
      <c r="R227" s="300"/>
      <c r="S227" s="300"/>
      <c r="T227" s="300"/>
      <c r="U227" s="300"/>
      <c r="V227" s="300"/>
      <c r="W227" s="300"/>
      <c r="X227" s="300"/>
      <c r="Y227" s="300"/>
    </row>
    <row r="228" spans="1:25" ht="16.8" hidden="1">
      <c r="A228" s="300"/>
      <c r="B228" s="300"/>
      <c r="C228" s="300"/>
      <c r="D228" s="300"/>
      <c r="E228" s="300"/>
      <c r="F228" s="300"/>
      <c r="G228" s="300"/>
      <c r="H228" s="300"/>
      <c r="I228" s="300"/>
      <c r="J228" s="300"/>
      <c r="K228" s="300"/>
      <c r="L228" s="300"/>
      <c r="M228" s="300"/>
      <c r="N228" s="300"/>
      <c r="O228" s="300"/>
      <c r="P228" s="300"/>
      <c r="Q228" s="300"/>
      <c r="R228" s="300"/>
      <c r="S228" s="300"/>
      <c r="T228" s="300"/>
      <c r="U228" s="300"/>
      <c r="V228" s="300"/>
      <c r="W228" s="300"/>
      <c r="X228" s="300"/>
      <c r="Y228" s="300"/>
    </row>
    <row r="229" spans="1:25" ht="16.8" hidden="1">
      <c r="A229" s="300"/>
      <c r="B229" s="300"/>
      <c r="C229" s="300"/>
      <c r="D229" s="300"/>
      <c r="E229" s="300"/>
      <c r="F229" s="300"/>
      <c r="G229" s="300"/>
      <c r="H229" s="300"/>
      <c r="I229" s="300"/>
      <c r="J229" s="300"/>
      <c r="K229" s="300"/>
      <c r="L229" s="300"/>
      <c r="M229" s="300"/>
      <c r="N229" s="300"/>
      <c r="O229" s="300"/>
      <c r="P229" s="300"/>
      <c r="Q229" s="300"/>
      <c r="R229" s="300"/>
      <c r="S229" s="300"/>
      <c r="T229" s="300"/>
      <c r="U229" s="300"/>
      <c r="V229" s="300"/>
      <c r="W229" s="300"/>
      <c r="X229" s="300"/>
      <c r="Y229" s="300"/>
    </row>
    <row r="230" spans="1:25" ht="16.8" hidden="1">
      <c r="A230" s="300"/>
      <c r="B230" s="300"/>
      <c r="C230" s="300"/>
      <c r="D230" s="300"/>
      <c r="E230" s="300"/>
      <c r="F230" s="300"/>
      <c r="G230" s="300"/>
      <c r="H230" s="300"/>
      <c r="I230" s="300"/>
      <c r="J230" s="300"/>
      <c r="K230" s="300"/>
      <c r="L230" s="300"/>
      <c r="M230" s="300"/>
      <c r="N230" s="300"/>
      <c r="O230" s="300"/>
      <c r="P230" s="300"/>
      <c r="Q230" s="300"/>
      <c r="R230" s="300"/>
      <c r="S230" s="300"/>
      <c r="T230" s="300"/>
      <c r="U230" s="300"/>
      <c r="V230" s="300"/>
      <c r="W230" s="300"/>
      <c r="X230" s="300"/>
      <c r="Y230" s="300"/>
    </row>
    <row r="231" spans="1:25" ht="16.8" hidden="1">
      <c r="A231" s="300"/>
      <c r="B231" s="300"/>
      <c r="C231" s="300"/>
      <c r="D231" s="300"/>
      <c r="E231" s="300"/>
      <c r="F231" s="300"/>
      <c r="G231" s="300"/>
      <c r="H231" s="300"/>
      <c r="I231" s="300"/>
      <c r="J231" s="300"/>
      <c r="K231" s="300"/>
      <c r="L231" s="300"/>
      <c r="M231" s="300"/>
      <c r="N231" s="300"/>
      <c r="O231" s="300"/>
      <c r="P231" s="300"/>
      <c r="Q231" s="300"/>
      <c r="R231" s="300"/>
      <c r="S231" s="300"/>
      <c r="T231" s="300"/>
      <c r="U231" s="300"/>
      <c r="V231" s="300"/>
      <c r="W231" s="300"/>
      <c r="X231" s="300"/>
      <c r="Y231" s="300"/>
    </row>
    <row r="232" spans="1:25" ht="16.8" hidden="1">
      <c r="A232" s="300"/>
      <c r="B232" s="300"/>
      <c r="C232" s="300"/>
      <c r="D232" s="300"/>
      <c r="E232" s="300"/>
      <c r="F232" s="300"/>
      <c r="G232" s="300"/>
      <c r="H232" s="300"/>
      <c r="I232" s="300"/>
      <c r="J232" s="300"/>
      <c r="K232" s="300"/>
      <c r="L232" s="300"/>
      <c r="M232" s="300"/>
      <c r="N232" s="300"/>
      <c r="O232" s="300"/>
      <c r="P232" s="300"/>
      <c r="Q232" s="300"/>
      <c r="R232" s="300"/>
      <c r="S232" s="300"/>
      <c r="T232" s="300"/>
      <c r="U232" s="300"/>
      <c r="V232" s="300"/>
      <c r="W232" s="300"/>
      <c r="X232" s="300"/>
      <c r="Y232" s="300"/>
    </row>
    <row r="233" spans="1:25" ht="16.8" hidden="1">
      <c r="A233" s="300"/>
      <c r="B233" s="300"/>
      <c r="C233" s="300"/>
      <c r="D233" s="300"/>
      <c r="E233" s="300"/>
      <c r="F233" s="300"/>
      <c r="G233" s="300"/>
      <c r="H233" s="300"/>
      <c r="I233" s="300"/>
      <c r="J233" s="300"/>
      <c r="K233" s="300"/>
      <c r="L233" s="300"/>
      <c r="M233" s="300"/>
      <c r="N233" s="300"/>
      <c r="O233" s="300"/>
      <c r="P233" s="300"/>
      <c r="Q233" s="300"/>
      <c r="R233" s="300"/>
      <c r="S233" s="300"/>
      <c r="T233" s="300"/>
      <c r="U233" s="300"/>
      <c r="V233" s="300"/>
      <c r="W233" s="300"/>
      <c r="X233" s="300"/>
      <c r="Y233" s="300"/>
    </row>
    <row r="234" spans="1:25" ht="16.8" hidden="1">
      <c r="A234" s="300"/>
      <c r="B234" s="300"/>
      <c r="C234" s="300"/>
      <c r="D234" s="300"/>
      <c r="E234" s="300"/>
      <c r="F234" s="300"/>
      <c r="G234" s="300"/>
      <c r="H234" s="300"/>
      <c r="I234" s="300"/>
      <c r="J234" s="300"/>
      <c r="K234" s="300"/>
      <c r="L234" s="300"/>
      <c r="M234" s="300"/>
      <c r="N234" s="300"/>
      <c r="O234" s="300"/>
      <c r="P234" s="300"/>
      <c r="Q234" s="300"/>
      <c r="R234" s="300"/>
      <c r="S234" s="300"/>
      <c r="T234" s="300"/>
      <c r="U234" s="300"/>
      <c r="V234" s="300"/>
      <c r="W234" s="300"/>
      <c r="X234" s="300"/>
      <c r="Y234" s="300"/>
    </row>
    <row r="235" spans="1:25" ht="16.8" hidden="1">
      <c r="A235" s="300"/>
      <c r="B235" s="300"/>
      <c r="C235" s="300"/>
      <c r="D235" s="300"/>
      <c r="E235" s="300"/>
      <c r="F235" s="300"/>
      <c r="G235" s="300"/>
      <c r="H235" s="300"/>
      <c r="I235" s="300"/>
      <c r="J235" s="300"/>
      <c r="K235" s="300"/>
      <c r="L235" s="300"/>
      <c r="M235" s="300"/>
      <c r="N235" s="300"/>
      <c r="O235" s="300"/>
      <c r="P235" s="300"/>
      <c r="Q235" s="300"/>
      <c r="R235" s="300"/>
      <c r="S235" s="300"/>
      <c r="T235" s="300"/>
      <c r="U235" s="300"/>
      <c r="V235" s="300"/>
      <c r="W235" s="300"/>
      <c r="X235" s="300"/>
      <c r="Y235" s="300"/>
    </row>
    <row r="236" spans="1:25" ht="16.8" hidden="1">
      <c r="A236" s="300"/>
      <c r="B236" s="300"/>
      <c r="C236" s="300"/>
      <c r="D236" s="300"/>
      <c r="E236" s="300"/>
      <c r="F236" s="300"/>
      <c r="G236" s="300"/>
      <c r="H236" s="300"/>
      <c r="I236" s="300"/>
      <c r="J236" s="300"/>
      <c r="K236" s="300"/>
      <c r="L236" s="300"/>
      <c r="M236" s="300"/>
      <c r="N236" s="300"/>
      <c r="O236" s="300"/>
      <c r="P236" s="300"/>
      <c r="Q236" s="300"/>
      <c r="R236" s="300"/>
      <c r="S236" s="300"/>
      <c r="T236" s="300"/>
      <c r="U236" s="300"/>
      <c r="V236" s="300"/>
      <c r="W236" s="300"/>
      <c r="X236" s="300"/>
      <c r="Y236" s="300"/>
    </row>
    <row r="237" spans="1:25" ht="16.8" hidden="1">
      <c r="A237" s="300"/>
      <c r="B237" s="300"/>
      <c r="C237" s="300"/>
      <c r="D237" s="300"/>
      <c r="E237" s="300"/>
      <c r="F237" s="300"/>
      <c r="G237" s="300"/>
      <c r="H237" s="300"/>
      <c r="I237" s="300"/>
      <c r="J237" s="300"/>
      <c r="K237" s="300"/>
      <c r="L237" s="300"/>
      <c r="M237" s="300"/>
      <c r="N237" s="300"/>
      <c r="O237" s="300"/>
      <c r="P237" s="300"/>
      <c r="Q237" s="300"/>
      <c r="R237" s="300"/>
      <c r="S237" s="300"/>
      <c r="T237" s="300"/>
      <c r="U237" s="300"/>
      <c r="V237" s="300"/>
      <c r="W237" s="300"/>
      <c r="X237" s="300"/>
      <c r="Y237" s="300"/>
    </row>
    <row r="238" spans="1:25" ht="16.8" hidden="1">
      <c r="A238" s="300"/>
      <c r="B238" s="300"/>
      <c r="C238" s="300"/>
      <c r="D238" s="300"/>
      <c r="E238" s="300"/>
      <c r="F238" s="300"/>
      <c r="G238" s="300"/>
      <c r="H238" s="300"/>
      <c r="I238" s="300"/>
      <c r="J238" s="300"/>
      <c r="K238" s="300"/>
      <c r="L238" s="300"/>
      <c r="M238" s="300"/>
      <c r="N238" s="300"/>
      <c r="O238" s="300"/>
      <c r="P238" s="300"/>
      <c r="Q238" s="300"/>
      <c r="R238" s="300"/>
      <c r="S238" s="300"/>
      <c r="T238" s="300"/>
      <c r="U238" s="300"/>
      <c r="V238" s="300"/>
      <c r="W238" s="300"/>
      <c r="X238" s="300"/>
      <c r="Y238" s="300"/>
    </row>
    <row r="239" spans="1:25" ht="16.8" hidden="1">
      <c r="A239" s="300"/>
      <c r="B239" s="300"/>
      <c r="C239" s="300"/>
      <c r="D239" s="300"/>
      <c r="E239" s="300"/>
      <c r="F239" s="300"/>
      <c r="G239" s="300"/>
      <c r="H239" s="300"/>
      <c r="I239" s="300"/>
      <c r="J239" s="300"/>
      <c r="K239" s="300"/>
      <c r="L239" s="300"/>
      <c r="M239" s="300"/>
      <c r="N239" s="300"/>
      <c r="O239" s="300"/>
      <c r="P239" s="300"/>
      <c r="Q239" s="300"/>
      <c r="R239" s="300"/>
      <c r="S239" s="300"/>
      <c r="T239" s="300"/>
      <c r="U239" s="300"/>
      <c r="V239" s="300"/>
      <c r="W239" s="300"/>
      <c r="X239" s="300"/>
      <c r="Y239" s="300"/>
    </row>
    <row r="240" spans="1:25" ht="16.8" hidden="1">
      <c r="A240" s="300"/>
      <c r="B240" s="300"/>
      <c r="C240" s="300"/>
      <c r="D240" s="300"/>
      <c r="E240" s="300"/>
      <c r="F240" s="300"/>
      <c r="G240" s="300"/>
      <c r="H240" s="300"/>
      <c r="I240" s="300"/>
      <c r="J240" s="300"/>
      <c r="K240" s="300"/>
      <c r="L240" s="300"/>
      <c r="M240" s="300"/>
      <c r="N240" s="300"/>
      <c r="O240" s="300"/>
      <c r="P240" s="300"/>
      <c r="Q240" s="300"/>
      <c r="R240" s="300"/>
      <c r="S240" s="300"/>
      <c r="T240" s="300"/>
      <c r="U240" s="300"/>
      <c r="V240" s="300"/>
      <c r="W240" s="300"/>
      <c r="X240" s="300"/>
      <c r="Y240" s="300"/>
    </row>
    <row r="241" spans="1:25" ht="16.8" hidden="1">
      <c r="A241" s="300"/>
      <c r="B241" s="300"/>
      <c r="C241" s="300"/>
      <c r="D241" s="300"/>
      <c r="E241" s="300"/>
      <c r="F241" s="300"/>
      <c r="G241" s="300"/>
      <c r="H241" s="300"/>
      <c r="I241" s="300"/>
      <c r="J241" s="300"/>
      <c r="K241" s="300"/>
      <c r="L241" s="300"/>
      <c r="M241" s="300"/>
      <c r="N241" s="300"/>
      <c r="O241" s="300"/>
      <c r="P241" s="300"/>
      <c r="Q241" s="300"/>
      <c r="R241" s="300"/>
      <c r="S241" s="300"/>
      <c r="T241" s="300"/>
      <c r="U241" s="300"/>
      <c r="V241" s="300"/>
      <c r="W241" s="300"/>
      <c r="X241" s="300"/>
      <c r="Y241" s="300"/>
    </row>
    <row r="242" spans="1:25" ht="16.8" hidden="1">
      <c r="A242" s="300"/>
      <c r="B242" s="300"/>
      <c r="C242" s="300"/>
      <c r="D242" s="300"/>
      <c r="E242" s="300"/>
      <c r="F242" s="300"/>
      <c r="G242" s="300"/>
      <c r="H242" s="300"/>
      <c r="I242" s="300"/>
      <c r="J242" s="300"/>
      <c r="K242" s="300"/>
      <c r="L242" s="300"/>
      <c r="M242" s="300"/>
      <c r="N242" s="300"/>
      <c r="O242" s="300"/>
      <c r="P242" s="300"/>
      <c r="Q242" s="300"/>
      <c r="R242" s="300"/>
      <c r="S242" s="300"/>
      <c r="T242" s="300"/>
      <c r="U242" s="300"/>
      <c r="V242" s="300"/>
      <c r="W242" s="300"/>
      <c r="X242" s="300"/>
      <c r="Y242" s="300"/>
    </row>
    <row r="243" spans="1:25" ht="16.8" hidden="1">
      <c r="A243" s="300"/>
      <c r="B243" s="300"/>
      <c r="C243" s="300"/>
      <c r="D243" s="300"/>
      <c r="E243" s="300"/>
      <c r="F243" s="300"/>
      <c r="G243" s="300"/>
      <c r="H243" s="300"/>
      <c r="I243" s="300"/>
      <c r="J243" s="300"/>
      <c r="K243" s="300"/>
      <c r="L243" s="300"/>
      <c r="M243" s="300"/>
      <c r="N243" s="300"/>
      <c r="O243" s="300"/>
      <c r="P243" s="300"/>
      <c r="Q243" s="300"/>
      <c r="R243" s="300"/>
      <c r="S243" s="300"/>
      <c r="T243" s="300"/>
      <c r="U243" s="300"/>
      <c r="V243" s="300"/>
      <c r="W243" s="300"/>
      <c r="X243" s="300"/>
      <c r="Y243" s="300"/>
    </row>
    <row r="244" spans="1:25" ht="16.8" hidden="1">
      <c r="A244" s="300"/>
      <c r="B244" s="300"/>
      <c r="C244" s="300"/>
      <c r="D244" s="300"/>
      <c r="E244" s="300"/>
      <c r="F244" s="300"/>
      <c r="G244" s="300"/>
      <c r="H244" s="300"/>
      <c r="I244" s="300"/>
      <c r="J244" s="300"/>
      <c r="K244" s="300"/>
      <c r="L244" s="300"/>
      <c r="M244" s="300"/>
      <c r="N244" s="300"/>
      <c r="O244" s="300"/>
      <c r="P244" s="300"/>
      <c r="Q244" s="300"/>
      <c r="R244" s="300"/>
      <c r="S244" s="300"/>
      <c r="T244" s="300"/>
      <c r="U244" s="300"/>
      <c r="V244" s="300"/>
      <c r="W244" s="300"/>
      <c r="X244" s="300"/>
      <c r="Y244" s="300"/>
    </row>
    <row r="245" spans="1:25" ht="16.8" hidden="1">
      <c r="A245" s="300"/>
      <c r="B245" s="300"/>
      <c r="C245" s="300"/>
      <c r="D245" s="300"/>
      <c r="E245" s="300"/>
      <c r="F245" s="300"/>
      <c r="G245" s="300"/>
      <c r="H245" s="300"/>
      <c r="I245" s="300"/>
      <c r="J245" s="300"/>
      <c r="K245" s="300"/>
      <c r="L245" s="300"/>
      <c r="M245" s="300"/>
      <c r="N245" s="300"/>
      <c r="O245" s="300"/>
      <c r="P245" s="300"/>
      <c r="Q245" s="300"/>
      <c r="R245" s="300"/>
      <c r="S245" s="300"/>
      <c r="T245" s="300"/>
      <c r="U245" s="300"/>
      <c r="V245" s="300"/>
      <c r="W245" s="300"/>
      <c r="X245" s="300"/>
      <c r="Y245" s="300"/>
    </row>
    <row r="246" spans="1:25" ht="16.8" hidden="1">
      <c r="A246" s="300"/>
      <c r="B246" s="300"/>
      <c r="C246" s="300"/>
      <c r="D246" s="300"/>
      <c r="E246" s="300"/>
      <c r="F246" s="300"/>
      <c r="G246" s="300"/>
      <c r="H246" s="300"/>
      <c r="I246" s="300"/>
      <c r="J246" s="300"/>
      <c r="K246" s="300"/>
      <c r="L246" s="300"/>
      <c r="M246" s="300"/>
      <c r="N246" s="300"/>
      <c r="O246" s="300"/>
      <c r="P246" s="300"/>
      <c r="Q246" s="300"/>
      <c r="R246" s="300"/>
      <c r="S246" s="300"/>
      <c r="T246" s="300"/>
      <c r="U246" s="300"/>
      <c r="V246" s="300"/>
      <c r="W246" s="300"/>
      <c r="X246" s="300"/>
      <c r="Y246" s="300"/>
    </row>
    <row r="247" spans="1:25" ht="16.8" hidden="1">
      <c r="A247" s="300"/>
      <c r="B247" s="300"/>
      <c r="C247" s="300"/>
      <c r="D247" s="300"/>
      <c r="E247" s="300"/>
      <c r="F247" s="300"/>
      <c r="G247" s="300"/>
      <c r="H247" s="300"/>
      <c r="I247" s="300"/>
      <c r="J247" s="300"/>
      <c r="K247" s="300"/>
      <c r="L247" s="300"/>
      <c r="M247" s="300"/>
      <c r="N247" s="300"/>
      <c r="O247" s="300"/>
      <c r="P247" s="300"/>
      <c r="Q247" s="300"/>
      <c r="R247" s="300"/>
      <c r="S247" s="300"/>
      <c r="T247" s="300"/>
      <c r="U247" s="300"/>
      <c r="V247" s="300"/>
      <c r="W247" s="300"/>
      <c r="X247" s="300"/>
      <c r="Y247" s="300"/>
    </row>
    <row r="248" spans="1:25" ht="16.8" hidden="1">
      <c r="A248" s="300"/>
      <c r="B248" s="300"/>
      <c r="C248" s="300"/>
      <c r="D248" s="300"/>
      <c r="E248" s="300"/>
      <c r="F248" s="300"/>
      <c r="G248" s="300"/>
      <c r="H248" s="300"/>
      <c r="I248" s="300"/>
      <c r="J248" s="300"/>
      <c r="K248" s="300"/>
      <c r="L248" s="300"/>
      <c r="M248" s="300"/>
      <c r="N248" s="300"/>
      <c r="O248" s="300"/>
      <c r="P248" s="300"/>
      <c r="Q248" s="300"/>
      <c r="R248" s="300"/>
      <c r="S248" s="300"/>
      <c r="T248" s="300"/>
      <c r="U248" s="300"/>
      <c r="V248" s="300"/>
      <c r="W248" s="300"/>
      <c r="X248" s="300"/>
      <c r="Y248" s="300"/>
    </row>
    <row r="249" spans="1:25" ht="16.8" hidden="1">
      <c r="A249" s="300"/>
      <c r="B249" s="300"/>
      <c r="C249" s="300"/>
      <c r="D249" s="300"/>
      <c r="E249" s="300"/>
      <c r="F249" s="300"/>
      <c r="G249" s="300"/>
      <c r="H249" s="300"/>
      <c r="I249" s="300"/>
      <c r="J249" s="300"/>
      <c r="K249" s="300"/>
      <c r="L249" s="300"/>
      <c r="M249" s="300"/>
      <c r="N249" s="300"/>
      <c r="O249" s="300"/>
      <c r="P249" s="300"/>
      <c r="Q249" s="300"/>
      <c r="R249" s="300"/>
      <c r="S249" s="300"/>
      <c r="T249" s="300"/>
      <c r="U249" s="300"/>
      <c r="V249" s="300"/>
      <c r="W249" s="300"/>
      <c r="X249" s="300"/>
      <c r="Y249" s="300"/>
    </row>
    <row r="250" spans="1:25" ht="16.8" hidden="1">
      <c r="A250" s="300"/>
      <c r="B250" s="300"/>
      <c r="C250" s="300"/>
      <c r="D250" s="300"/>
      <c r="E250" s="300"/>
      <c r="F250" s="300"/>
      <c r="G250" s="300"/>
      <c r="H250" s="300"/>
      <c r="I250" s="300"/>
      <c r="J250" s="300"/>
      <c r="K250" s="300"/>
      <c r="L250" s="300"/>
      <c r="M250" s="300"/>
      <c r="N250" s="300"/>
      <c r="O250" s="300"/>
      <c r="P250" s="300"/>
      <c r="Q250" s="300"/>
      <c r="R250" s="300"/>
      <c r="S250" s="300"/>
      <c r="T250" s="300"/>
      <c r="U250" s="300"/>
      <c r="V250" s="300"/>
      <c r="W250" s="300"/>
      <c r="X250" s="300"/>
      <c r="Y250" s="300"/>
    </row>
    <row r="251" spans="1:25" ht="16.8" hidden="1">
      <c r="A251" s="300"/>
      <c r="B251" s="300"/>
      <c r="C251" s="300"/>
      <c r="D251" s="300"/>
      <c r="E251" s="300"/>
      <c r="F251" s="300"/>
      <c r="G251" s="300"/>
      <c r="H251" s="300"/>
      <c r="I251" s="300"/>
      <c r="J251" s="300"/>
      <c r="K251" s="300"/>
      <c r="L251" s="300"/>
      <c r="M251" s="300"/>
      <c r="N251" s="300"/>
      <c r="O251" s="300"/>
      <c r="P251" s="300"/>
      <c r="Q251" s="300"/>
      <c r="R251" s="300"/>
      <c r="S251" s="300"/>
      <c r="T251" s="300"/>
      <c r="U251" s="300"/>
      <c r="V251" s="300"/>
      <c r="W251" s="300"/>
      <c r="X251" s="300"/>
      <c r="Y251" s="300"/>
    </row>
    <row r="252" spans="1:25" ht="16.8" hidden="1">
      <c r="A252" s="300"/>
      <c r="B252" s="300"/>
      <c r="C252" s="300"/>
      <c r="D252" s="300"/>
      <c r="E252" s="300"/>
      <c r="F252" s="300"/>
      <c r="G252" s="300"/>
      <c r="H252" s="300"/>
      <c r="I252" s="300"/>
      <c r="J252" s="300"/>
      <c r="K252" s="300"/>
      <c r="L252" s="300"/>
      <c r="M252" s="300"/>
      <c r="N252" s="300"/>
      <c r="O252" s="300"/>
      <c r="P252" s="300"/>
      <c r="Q252" s="300"/>
      <c r="R252" s="300"/>
      <c r="S252" s="300"/>
      <c r="T252" s="300"/>
      <c r="U252" s="300"/>
      <c r="V252" s="300"/>
      <c r="W252" s="300"/>
      <c r="X252" s="300"/>
      <c r="Y252" s="300"/>
    </row>
    <row r="253" spans="1:25" ht="16.8" hidden="1">
      <c r="A253" s="300"/>
      <c r="B253" s="300"/>
      <c r="C253" s="300"/>
      <c r="D253" s="300"/>
      <c r="E253" s="300"/>
      <c r="F253" s="300"/>
      <c r="G253" s="300"/>
      <c r="H253" s="300"/>
      <c r="I253" s="300"/>
      <c r="J253" s="300"/>
      <c r="K253" s="300"/>
      <c r="L253" s="300"/>
      <c r="M253" s="300"/>
      <c r="N253" s="300"/>
      <c r="O253" s="300"/>
      <c r="P253" s="300"/>
      <c r="Q253" s="300"/>
      <c r="R253" s="300"/>
      <c r="S253" s="300"/>
      <c r="T253" s="300"/>
      <c r="U253" s="300"/>
      <c r="V253" s="300"/>
      <c r="W253" s="300"/>
      <c r="X253" s="300"/>
      <c r="Y253" s="300"/>
    </row>
    <row r="254" spans="1:25" ht="16.8" hidden="1">
      <c r="A254" s="300"/>
      <c r="B254" s="300"/>
      <c r="C254" s="300"/>
      <c r="D254" s="300"/>
      <c r="E254" s="300"/>
      <c r="F254" s="300"/>
      <c r="G254" s="300"/>
      <c r="H254" s="300"/>
      <c r="I254" s="300"/>
      <c r="J254" s="300"/>
      <c r="K254" s="300"/>
      <c r="L254" s="300"/>
      <c r="M254" s="300"/>
      <c r="N254" s="300"/>
      <c r="O254" s="300"/>
      <c r="P254" s="300"/>
      <c r="Q254" s="300"/>
      <c r="R254" s="300"/>
      <c r="S254" s="300"/>
      <c r="T254" s="300"/>
      <c r="U254" s="300"/>
      <c r="V254" s="300"/>
      <c r="W254" s="300"/>
      <c r="X254" s="300"/>
      <c r="Y254" s="300"/>
    </row>
    <row r="255" spans="1:25" ht="16.8" hidden="1">
      <c r="A255" s="300"/>
      <c r="B255" s="300"/>
      <c r="C255" s="300"/>
      <c r="D255" s="300"/>
      <c r="E255" s="300"/>
      <c r="F255" s="300"/>
      <c r="G255" s="300"/>
      <c r="H255" s="300"/>
      <c r="I255" s="300"/>
      <c r="J255" s="300"/>
      <c r="K255" s="300"/>
      <c r="L255" s="300"/>
      <c r="M255" s="300"/>
      <c r="N255" s="300"/>
      <c r="O255" s="300"/>
      <c r="P255" s="300"/>
      <c r="Q255" s="300"/>
      <c r="R255" s="300"/>
      <c r="S255" s="300"/>
      <c r="T255" s="300"/>
      <c r="U255" s="300"/>
      <c r="V255" s="300"/>
      <c r="W255" s="300"/>
      <c r="X255" s="300"/>
      <c r="Y255" s="300"/>
    </row>
    <row r="256" spans="1:25" ht="16.8" hidden="1">
      <c r="A256" s="300"/>
      <c r="B256" s="300"/>
      <c r="C256" s="300"/>
      <c r="D256" s="300"/>
      <c r="E256" s="300"/>
      <c r="F256" s="300"/>
      <c r="G256" s="300"/>
      <c r="H256" s="300"/>
      <c r="I256" s="300"/>
      <c r="J256" s="300"/>
      <c r="K256" s="300"/>
      <c r="L256" s="300"/>
      <c r="M256" s="300"/>
      <c r="N256" s="300"/>
      <c r="O256" s="300"/>
      <c r="P256" s="300"/>
      <c r="Q256" s="300"/>
      <c r="R256" s="300"/>
      <c r="S256" s="300"/>
      <c r="T256" s="300"/>
      <c r="U256" s="300"/>
      <c r="V256" s="300"/>
      <c r="W256" s="300"/>
      <c r="X256" s="300"/>
      <c r="Y256" s="300"/>
    </row>
    <row r="257" spans="1:25" ht="16.8" hidden="1">
      <c r="A257" s="300"/>
      <c r="B257" s="300"/>
      <c r="C257" s="300"/>
      <c r="D257" s="300"/>
      <c r="E257" s="300"/>
      <c r="F257" s="300"/>
      <c r="G257" s="300"/>
      <c r="H257" s="300"/>
      <c r="I257" s="300"/>
      <c r="J257" s="300"/>
      <c r="K257" s="300"/>
      <c r="L257" s="300"/>
      <c r="M257" s="300"/>
      <c r="N257" s="300"/>
      <c r="O257" s="300"/>
      <c r="P257" s="300"/>
      <c r="Q257" s="300"/>
      <c r="R257" s="300"/>
      <c r="S257" s="300"/>
      <c r="T257" s="300"/>
      <c r="U257" s="300"/>
      <c r="V257" s="300"/>
      <c r="W257" s="300"/>
      <c r="X257" s="300"/>
      <c r="Y257" s="300"/>
    </row>
    <row r="258" spans="1:25" ht="16.8" hidden="1">
      <c r="A258" s="300"/>
      <c r="B258" s="300"/>
      <c r="C258" s="300"/>
      <c r="D258" s="300"/>
      <c r="E258" s="300"/>
      <c r="F258" s="300"/>
      <c r="G258" s="300"/>
      <c r="H258" s="300"/>
      <c r="I258" s="300"/>
      <c r="J258" s="300"/>
      <c r="K258" s="300"/>
      <c r="L258" s="300"/>
      <c r="M258" s="300"/>
      <c r="N258" s="300"/>
      <c r="O258" s="300"/>
      <c r="P258" s="300"/>
      <c r="Q258" s="300"/>
      <c r="R258" s="300"/>
      <c r="S258" s="300"/>
      <c r="T258" s="300"/>
      <c r="U258" s="300"/>
      <c r="V258" s="300"/>
      <c r="W258" s="300"/>
      <c r="X258" s="300"/>
      <c r="Y258" s="300"/>
    </row>
    <row r="259" spans="1:25" ht="16.8" hidden="1">
      <c r="A259" s="300"/>
      <c r="B259" s="300"/>
      <c r="C259" s="300"/>
      <c r="D259" s="300"/>
      <c r="E259" s="300"/>
      <c r="F259" s="300"/>
      <c r="G259" s="300"/>
      <c r="H259" s="300"/>
      <c r="I259" s="300"/>
      <c r="J259" s="300"/>
      <c r="K259" s="300"/>
      <c r="L259" s="300"/>
      <c r="M259" s="300"/>
      <c r="N259" s="300"/>
      <c r="O259" s="300"/>
      <c r="P259" s="300"/>
      <c r="Q259" s="300"/>
      <c r="R259" s="300"/>
      <c r="S259" s="300"/>
      <c r="T259" s="300"/>
      <c r="U259" s="300"/>
      <c r="V259" s="300"/>
      <c r="W259" s="300"/>
      <c r="X259" s="300"/>
      <c r="Y259" s="300"/>
    </row>
    <row r="260" spans="1:25" ht="16.8" hidden="1">
      <c r="A260" s="300"/>
      <c r="B260" s="300"/>
      <c r="C260" s="300"/>
      <c r="D260" s="300"/>
      <c r="E260" s="300"/>
      <c r="F260" s="300"/>
      <c r="G260" s="300"/>
      <c r="H260" s="300"/>
      <c r="I260" s="300"/>
      <c r="J260" s="300"/>
      <c r="K260" s="300"/>
      <c r="L260" s="300"/>
      <c r="M260" s="300"/>
      <c r="N260" s="300"/>
      <c r="O260" s="300"/>
      <c r="P260" s="300"/>
      <c r="Q260" s="300"/>
      <c r="R260" s="300"/>
      <c r="S260" s="300"/>
      <c r="T260" s="300"/>
      <c r="U260" s="300"/>
      <c r="V260" s="300"/>
      <c r="W260" s="300"/>
      <c r="X260" s="300"/>
      <c r="Y260" s="300"/>
    </row>
    <row r="261" spans="1:25" ht="16.8" hidden="1">
      <c r="A261" s="300"/>
      <c r="B261" s="300"/>
      <c r="C261" s="300"/>
      <c r="D261" s="300"/>
      <c r="E261" s="300"/>
      <c r="F261" s="300"/>
      <c r="G261" s="300"/>
      <c r="H261" s="300"/>
      <c r="I261" s="300"/>
      <c r="J261" s="300"/>
      <c r="K261" s="300"/>
      <c r="L261" s="300"/>
      <c r="M261" s="300"/>
      <c r="N261" s="300"/>
      <c r="O261" s="300"/>
      <c r="P261" s="300"/>
      <c r="Q261" s="300"/>
      <c r="R261" s="300"/>
      <c r="S261" s="300"/>
      <c r="T261" s="300"/>
      <c r="U261" s="300"/>
      <c r="V261" s="300"/>
      <c r="W261" s="300"/>
      <c r="X261" s="300"/>
      <c r="Y261" s="300"/>
    </row>
    <row r="262" spans="1:25" ht="16.8" hidden="1">
      <c r="A262" s="300"/>
      <c r="B262" s="300"/>
      <c r="C262" s="300"/>
      <c r="D262" s="300"/>
      <c r="E262" s="300"/>
      <c r="F262" s="300"/>
      <c r="G262" s="300"/>
      <c r="H262" s="300"/>
      <c r="I262" s="300"/>
      <c r="J262" s="300"/>
      <c r="K262" s="300"/>
      <c r="L262" s="300"/>
      <c r="M262" s="300"/>
      <c r="N262" s="300"/>
      <c r="O262" s="300"/>
      <c r="P262" s="300"/>
      <c r="Q262" s="300"/>
      <c r="R262" s="300"/>
      <c r="S262" s="300"/>
      <c r="T262" s="300"/>
      <c r="U262" s="300"/>
      <c r="V262" s="300"/>
      <c r="W262" s="300"/>
      <c r="X262" s="300"/>
      <c r="Y262" s="300"/>
    </row>
    <row r="263" spans="1:25" ht="16.8" hidden="1">
      <c r="A263" s="300"/>
      <c r="B263" s="300"/>
      <c r="C263" s="300"/>
      <c r="D263" s="300"/>
      <c r="E263" s="300"/>
      <c r="F263" s="300"/>
      <c r="G263" s="300"/>
      <c r="H263" s="300"/>
      <c r="I263" s="300"/>
      <c r="J263" s="300"/>
      <c r="K263" s="300"/>
      <c r="L263" s="300"/>
      <c r="M263" s="300"/>
      <c r="N263" s="300"/>
      <c r="O263" s="300"/>
      <c r="P263" s="300"/>
      <c r="Q263" s="300"/>
      <c r="R263" s="300"/>
      <c r="S263" s="300"/>
      <c r="T263" s="300"/>
      <c r="U263" s="300"/>
      <c r="V263" s="300"/>
      <c r="W263" s="300"/>
      <c r="X263" s="300"/>
      <c r="Y263" s="300"/>
    </row>
    <row r="264" spans="1:25" ht="16.8" hidden="1">
      <c r="A264" s="300"/>
      <c r="B264" s="300"/>
      <c r="C264" s="300"/>
      <c r="D264" s="300"/>
      <c r="E264" s="300"/>
      <c r="F264" s="300"/>
      <c r="G264" s="300"/>
      <c r="H264" s="300"/>
      <c r="I264" s="300"/>
      <c r="J264" s="300"/>
      <c r="K264" s="300"/>
      <c r="L264" s="300"/>
      <c r="M264" s="300"/>
      <c r="N264" s="300"/>
      <c r="O264" s="300"/>
      <c r="P264" s="300"/>
      <c r="Q264" s="300"/>
      <c r="R264" s="300"/>
      <c r="S264" s="300"/>
      <c r="T264" s="300"/>
      <c r="U264" s="300"/>
      <c r="V264" s="300"/>
      <c r="W264" s="300"/>
      <c r="X264" s="300"/>
      <c r="Y264" s="300"/>
    </row>
    <row r="265" spans="1:25" ht="16.8" hidden="1">
      <c r="A265" s="300"/>
      <c r="B265" s="300"/>
      <c r="C265" s="300"/>
      <c r="D265" s="300"/>
      <c r="E265" s="300"/>
      <c r="F265" s="300"/>
      <c r="G265" s="300"/>
      <c r="H265" s="300"/>
      <c r="I265" s="300"/>
      <c r="J265" s="300"/>
      <c r="K265" s="300"/>
      <c r="L265" s="300"/>
      <c r="M265" s="300"/>
      <c r="N265" s="300"/>
      <c r="O265" s="300"/>
      <c r="P265" s="300"/>
      <c r="Q265" s="300"/>
      <c r="R265" s="300"/>
      <c r="S265" s="300"/>
      <c r="T265" s="300"/>
      <c r="U265" s="300"/>
      <c r="V265" s="300"/>
      <c r="W265" s="300"/>
      <c r="X265" s="300"/>
      <c r="Y265" s="300"/>
    </row>
    <row r="266" spans="1:25" ht="16.8" hidden="1">
      <c r="A266" s="300"/>
      <c r="B266" s="300"/>
      <c r="C266" s="300"/>
      <c r="D266" s="300"/>
      <c r="E266" s="300"/>
      <c r="F266" s="300"/>
      <c r="G266" s="300"/>
      <c r="H266" s="300"/>
      <c r="I266" s="300"/>
      <c r="J266" s="300"/>
      <c r="K266" s="300"/>
      <c r="L266" s="300"/>
      <c r="M266" s="300"/>
      <c r="N266" s="300"/>
      <c r="O266" s="300"/>
      <c r="P266" s="300"/>
      <c r="Q266" s="300"/>
      <c r="R266" s="300"/>
      <c r="S266" s="300"/>
      <c r="T266" s="300"/>
      <c r="U266" s="300"/>
      <c r="V266" s="300"/>
      <c r="W266" s="300"/>
      <c r="X266" s="300"/>
      <c r="Y266" s="300"/>
    </row>
    <row r="267" spans="1:25" ht="16.8" hidden="1">
      <c r="A267" s="300"/>
      <c r="B267" s="300"/>
      <c r="C267" s="300"/>
      <c r="D267" s="300"/>
      <c r="E267" s="300"/>
      <c r="F267" s="300"/>
      <c r="G267" s="300"/>
      <c r="H267" s="300"/>
      <c r="I267" s="300"/>
      <c r="J267" s="300"/>
      <c r="K267" s="300"/>
      <c r="L267" s="300"/>
      <c r="M267" s="300"/>
      <c r="N267" s="300"/>
      <c r="O267" s="300"/>
      <c r="P267" s="300"/>
      <c r="Q267" s="300"/>
      <c r="R267" s="300"/>
      <c r="S267" s="300"/>
      <c r="T267" s="300"/>
      <c r="U267" s="300"/>
      <c r="V267" s="300"/>
      <c r="W267" s="300"/>
      <c r="X267" s="300"/>
      <c r="Y267" s="300"/>
    </row>
    <row r="268" spans="1:25" ht="16.8" hidden="1">
      <c r="A268" s="300"/>
      <c r="B268" s="300"/>
      <c r="C268" s="300"/>
      <c r="D268" s="300"/>
      <c r="E268" s="300"/>
      <c r="F268" s="300"/>
      <c r="G268" s="300"/>
      <c r="H268" s="300"/>
      <c r="I268" s="300"/>
      <c r="J268" s="300"/>
      <c r="K268" s="300"/>
      <c r="L268" s="300"/>
      <c r="M268" s="300"/>
      <c r="N268" s="300"/>
      <c r="O268" s="300"/>
      <c r="P268" s="300"/>
      <c r="Q268" s="300"/>
      <c r="R268" s="300"/>
      <c r="S268" s="300"/>
      <c r="T268" s="300"/>
      <c r="U268" s="300"/>
      <c r="V268" s="300"/>
      <c r="W268" s="300"/>
      <c r="X268" s="300"/>
      <c r="Y268" s="300"/>
    </row>
    <row r="269" spans="1:25" ht="16.8" hidden="1">
      <c r="A269" s="300"/>
      <c r="B269" s="300"/>
      <c r="C269" s="300"/>
      <c r="D269" s="300"/>
      <c r="E269" s="300"/>
      <c r="F269" s="300"/>
      <c r="G269" s="300"/>
      <c r="H269" s="300"/>
      <c r="I269" s="300"/>
      <c r="J269" s="300"/>
      <c r="K269" s="300"/>
      <c r="L269" s="300"/>
      <c r="M269" s="300"/>
      <c r="N269" s="300"/>
      <c r="O269" s="300"/>
      <c r="P269" s="300"/>
      <c r="Q269" s="300"/>
      <c r="R269" s="300"/>
      <c r="S269" s="300"/>
      <c r="T269" s="300"/>
      <c r="U269" s="300"/>
      <c r="V269" s="300"/>
      <c r="W269" s="300"/>
      <c r="X269" s="300"/>
      <c r="Y269" s="300"/>
    </row>
    <row r="270" spans="1:25" ht="15" hidden="1" customHeight="1"/>
    <row r="271" spans="1:25" ht="15" hidden="1" customHeight="1"/>
    <row r="272" spans="1:25" ht="15" hidden="1" customHeight="1"/>
    <row r="273" s="301" customFormat="1" ht="15" hidden="1" customHeight="1"/>
    <row r="274" s="301" customFormat="1" ht="15" hidden="1" customHeight="1"/>
    <row r="275" s="301" customFormat="1" ht="15" hidden="1" customHeight="1"/>
    <row r="276" s="301" customFormat="1" ht="15" hidden="1" customHeight="1"/>
    <row r="277" s="301" customFormat="1" ht="15" hidden="1" customHeight="1"/>
    <row r="278" s="301" customFormat="1" ht="15" hidden="1" customHeight="1"/>
    <row r="279" s="301" customFormat="1" ht="15" hidden="1" customHeight="1"/>
    <row r="280" s="301" customFormat="1" ht="15" hidden="1" customHeight="1"/>
    <row r="281" s="301" customFormat="1" ht="15" hidden="1" customHeight="1"/>
    <row r="282" s="301" customFormat="1" ht="15" hidden="1" customHeight="1"/>
    <row r="283" s="301" customFormat="1" ht="15" hidden="1" customHeight="1"/>
    <row r="284" s="301" customFormat="1" ht="15" hidden="1" customHeight="1"/>
    <row r="285" s="301" customFormat="1" ht="15" hidden="1" customHeight="1"/>
    <row r="286" s="301" customFormat="1" ht="15" hidden="1" customHeight="1"/>
    <row r="287" s="301" customFormat="1" ht="15" hidden="1" customHeight="1"/>
    <row r="288" s="301" customFormat="1" ht="15" hidden="1" customHeight="1"/>
    <row r="289" s="301" customFormat="1" ht="15" hidden="1" customHeight="1"/>
    <row r="290" s="301" customFormat="1" ht="15" hidden="1" customHeight="1"/>
    <row r="291" s="301" customFormat="1" ht="15" hidden="1" customHeight="1"/>
    <row r="292" s="301" customFormat="1" ht="15" hidden="1" customHeight="1"/>
    <row r="293" s="301" customFormat="1" ht="15" hidden="1" customHeight="1"/>
    <row r="294" s="301" customFormat="1" ht="15" hidden="1" customHeight="1"/>
    <row r="295" s="301" customFormat="1" ht="15" hidden="1" customHeight="1"/>
    <row r="296" s="301" customFormat="1" ht="15" hidden="1" customHeight="1"/>
    <row r="297" s="301" customFormat="1" ht="15" hidden="1" customHeight="1"/>
    <row r="298" s="301" customFormat="1" ht="15" hidden="1" customHeight="1"/>
    <row r="299" s="301" customFormat="1" ht="15" hidden="1" customHeight="1"/>
    <row r="300" s="301" customFormat="1" ht="15" hidden="1" customHeight="1"/>
    <row r="301" s="301" customFormat="1" ht="15" hidden="1" customHeight="1"/>
    <row r="302" s="301" customFormat="1" ht="15" hidden="1" customHeight="1"/>
    <row r="303" s="301" customFormat="1" ht="15" hidden="1" customHeight="1"/>
    <row r="304" s="301" customFormat="1" ht="15" hidden="1" customHeight="1"/>
    <row r="305" s="301" customFormat="1" ht="15" hidden="1" customHeight="1"/>
    <row r="306" s="301" customFormat="1" ht="15" hidden="1" customHeight="1"/>
    <row r="307" s="301" customFormat="1" ht="15" hidden="1" customHeight="1"/>
    <row r="308" s="301" customFormat="1" ht="15" hidden="1" customHeight="1"/>
    <row r="309" s="301" customFormat="1" ht="15" hidden="1" customHeight="1"/>
    <row r="310" s="301" customFormat="1" ht="15" hidden="1" customHeight="1"/>
    <row r="311" s="301" customFormat="1" ht="15" hidden="1" customHeight="1"/>
    <row r="312" s="301" customFormat="1" ht="15" hidden="1" customHeight="1"/>
    <row r="313" s="301" customFormat="1" ht="15" hidden="1" customHeight="1"/>
    <row r="314" s="301" customFormat="1" ht="15" hidden="1" customHeight="1"/>
    <row r="315" s="301" customFormat="1" ht="15" hidden="1" customHeight="1"/>
    <row r="316" s="301" customFormat="1" ht="15" hidden="1" customHeight="1"/>
    <row r="317" s="301" customFormat="1" ht="15" hidden="1" customHeight="1"/>
    <row r="318" s="301" customFormat="1" ht="15" hidden="1" customHeight="1"/>
    <row r="319" s="301" customFormat="1" ht="15" hidden="1" customHeight="1"/>
    <row r="320" s="301" customFormat="1" ht="15" hidden="1" customHeight="1"/>
    <row r="321" s="301" customFormat="1" ht="15" hidden="1" customHeight="1"/>
    <row r="322" s="301" customFormat="1" ht="15" hidden="1" customHeight="1"/>
    <row r="323" s="301" customFormat="1" ht="15" hidden="1" customHeight="1"/>
    <row r="324" s="301" customFormat="1" ht="15" hidden="1" customHeight="1"/>
    <row r="325" s="301" customFormat="1" ht="15" hidden="1" customHeight="1"/>
    <row r="326" s="301" customFormat="1" ht="15" hidden="1" customHeight="1"/>
    <row r="327" s="301" customFormat="1" ht="15" hidden="1" customHeight="1"/>
    <row r="328" s="301" customFormat="1" ht="15" hidden="1" customHeight="1"/>
    <row r="329" s="301" customFormat="1" ht="15" hidden="1" customHeight="1"/>
    <row r="330" s="301" customFormat="1" ht="15" hidden="1" customHeight="1"/>
    <row r="331" s="301" customFormat="1" ht="15" hidden="1" customHeight="1"/>
    <row r="332" s="301" customFormat="1" ht="15" hidden="1" customHeight="1"/>
    <row r="333" s="301" customFormat="1" ht="15" hidden="1" customHeight="1"/>
    <row r="334" s="301" customFormat="1" ht="15" hidden="1" customHeight="1"/>
    <row r="335" s="301" customFormat="1" ht="15" hidden="1" customHeight="1"/>
    <row r="336" s="301" customFormat="1" ht="15" hidden="1" customHeight="1"/>
    <row r="337" s="301" customFormat="1" ht="15" hidden="1" customHeight="1"/>
    <row r="338" s="301" customFormat="1" ht="15" hidden="1" customHeight="1"/>
    <row r="339" s="301" customFormat="1" ht="15" hidden="1" customHeight="1"/>
    <row r="340" s="301" customFormat="1" ht="15" hidden="1" customHeight="1"/>
    <row r="341" s="301" customFormat="1" ht="15" hidden="1" customHeight="1"/>
    <row r="342" s="301" customFormat="1" ht="15" hidden="1" customHeight="1"/>
    <row r="343" s="301" customFormat="1" ht="15" hidden="1" customHeight="1"/>
    <row r="344" s="301" customFormat="1" ht="15" hidden="1" customHeight="1"/>
    <row r="345" s="301" customFormat="1" ht="15" hidden="1" customHeight="1"/>
    <row r="346" s="301" customFormat="1" ht="15" hidden="1" customHeight="1"/>
    <row r="347" s="301" customFormat="1" ht="15" hidden="1" customHeight="1"/>
    <row r="348" s="301" customFormat="1" ht="15" hidden="1" customHeight="1"/>
    <row r="349" s="301" customFormat="1" ht="15" hidden="1" customHeight="1"/>
    <row r="350" s="301" customFormat="1" ht="15" hidden="1" customHeight="1"/>
    <row r="351" s="301" customFormat="1" ht="15" hidden="1" customHeight="1"/>
    <row r="352" s="301" customFormat="1" ht="15" hidden="1" customHeight="1"/>
    <row r="353" s="301" customFormat="1" ht="15" hidden="1" customHeight="1"/>
    <row r="354" s="301" customFormat="1" ht="15" hidden="1" customHeight="1"/>
    <row r="355" s="301" customFormat="1" ht="15" hidden="1" customHeight="1"/>
    <row r="356" s="301" customFormat="1" ht="15" hidden="1" customHeight="1"/>
    <row r="357" s="301" customFormat="1" ht="15" hidden="1" customHeight="1"/>
    <row r="358" s="301" customFormat="1" ht="15" hidden="1" customHeight="1"/>
    <row r="359" s="301" customFormat="1" ht="15" hidden="1" customHeight="1"/>
    <row r="360" s="301" customFormat="1" ht="15" hidden="1" customHeight="1"/>
    <row r="361" s="301" customFormat="1" ht="15" hidden="1" customHeight="1"/>
    <row r="362" s="301" customFormat="1" ht="15" hidden="1" customHeight="1"/>
    <row r="363" s="301" customFormat="1" ht="15" hidden="1" customHeight="1"/>
    <row r="364" s="301" customFormat="1" ht="15" hidden="1" customHeight="1"/>
    <row r="365" s="301" customFormat="1" ht="15" hidden="1" customHeight="1"/>
    <row r="366" s="301" customFormat="1" ht="15" hidden="1" customHeight="1"/>
    <row r="367" s="301" customFormat="1" ht="15" hidden="1" customHeight="1"/>
    <row r="368" s="301" customFormat="1" ht="15" hidden="1" customHeight="1"/>
    <row r="369" s="301" customFormat="1" ht="15" hidden="1" customHeight="1"/>
    <row r="370" s="301" customFormat="1" ht="15" hidden="1" customHeight="1"/>
    <row r="371" s="301" customFormat="1" ht="15" hidden="1" customHeight="1"/>
    <row r="372" s="301" customFormat="1" ht="15" hidden="1" customHeight="1"/>
    <row r="373" s="301" customFormat="1" ht="15" hidden="1" customHeight="1"/>
    <row r="374" s="301" customFormat="1" ht="15" hidden="1" customHeight="1"/>
    <row r="375" s="301" customFormat="1" ht="15" hidden="1" customHeight="1"/>
    <row r="376" s="301" customFormat="1" ht="15" hidden="1" customHeight="1"/>
    <row r="377" s="301" customFormat="1" ht="15" hidden="1" customHeight="1"/>
    <row r="378" s="301" customFormat="1" ht="15" hidden="1" customHeight="1"/>
    <row r="379" s="301" customFormat="1" ht="15" hidden="1" customHeight="1"/>
    <row r="380" s="301" customFormat="1" ht="15" hidden="1" customHeight="1"/>
    <row r="381" s="301" customFormat="1" ht="15" hidden="1" customHeight="1"/>
    <row r="382" s="301" customFormat="1" ht="15" hidden="1" customHeight="1"/>
    <row r="383" s="301" customFormat="1" ht="15" hidden="1" customHeight="1"/>
    <row r="384" s="301" customFormat="1" ht="15" hidden="1" customHeight="1"/>
    <row r="385" s="301" customFormat="1" ht="15" hidden="1" customHeight="1"/>
    <row r="386" s="301" customFormat="1" ht="15" hidden="1" customHeight="1"/>
    <row r="387" s="301" customFormat="1" ht="15" hidden="1" customHeight="1"/>
    <row r="388" s="301" customFormat="1" ht="15" hidden="1" customHeight="1"/>
    <row r="389" s="301" customFormat="1" ht="15" hidden="1" customHeight="1"/>
    <row r="390" s="301" customFormat="1" ht="15" hidden="1" customHeight="1"/>
    <row r="391" s="301" customFormat="1" ht="15" hidden="1" customHeight="1"/>
    <row r="392" s="301" customFormat="1" ht="15" hidden="1" customHeight="1"/>
    <row r="393" s="301" customFormat="1" ht="15" hidden="1" customHeight="1"/>
    <row r="394" s="301" customFormat="1" ht="15" hidden="1" customHeight="1"/>
    <row r="395" s="301" customFormat="1" ht="15" hidden="1" customHeight="1"/>
    <row r="396" s="301" customFormat="1" ht="15" hidden="1" customHeight="1"/>
    <row r="397" s="301" customFormat="1" ht="15" hidden="1" customHeight="1"/>
    <row r="398" s="301" customFormat="1" ht="15" hidden="1" customHeight="1"/>
    <row r="399" s="301" customFormat="1" ht="15" hidden="1" customHeight="1"/>
    <row r="400" s="301" customFormat="1" ht="15" hidden="1" customHeight="1"/>
    <row r="401" s="301" customFormat="1" ht="15" hidden="1" customHeight="1"/>
    <row r="402" s="301" customFormat="1" ht="15" hidden="1" customHeight="1"/>
    <row r="403" s="301" customFormat="1" ht="15" hidden="1" customHeight="1"/>
    <row r="404" s="301" customFormat="1" ht="15" hidden="1" customHeight="1"/>
    <row r="405" s="301" customFormat="1" ht="15" hidden="1" customHeight="1"/>
    <row r="406" s="301" customFormat="1" ht="15" hidden="1" customHeight="1"/>
    <row r="407" s="301" customFormat="1" ht="15" hidden="1" customHeight="1"/>
    <row r="408" s="301" customFormat="1" ht="15" hidden="1" customHeight="1"/>
    <row r="409" s="301" customFormat="1" ht="15" hidden="1" customHeight="1"/>
    <row r="410" s="301" customFormat="1" ht="15" hidden="1" customHeight="1"/>
    <row r="411" s="301" customFormat="1" ht="15" hidden="1" customHeight="1"/>
    <row r="412" s="301" customFormat="1" ht="15" hidden="1" customHeight="1"/>
    <row r="413" s="301" customFormat="1" ht="15" hidden="1" customHeight="1"/>
    <row r="414" s="301" customFormat="1" ht="15" hidden="1" customHeight="1"/>
    <row r="415" s="301" customFormat="1" ht="15" hidden="1" customHeight="1"/>
    <row r="416" s="301" customFormat="1" ht="15" hidden="1" customHeight="1"/>
    <row r="417" s="301" customFormat="1" ht="15" hidden="1" customHeight="1"/>
    <row r="418" s="301" customFormat="1" ht="15" hidden="1" customHeight="1"/>
    <row r="419" s="301" customFormat="1" ht="15" hidden="1" customHeight="1"/>
    <row r="420" s="301" customFormat="1" ht="15" hidden="1" customHeight="1"/>
    <row r="421" s="301" customFormat="1" ht="15" hidden="1" customHeight="1"/>
    <row r="422" s="301" customFormat="1" ht="15" hidden="1" customHeight="1"/>
    <row r="423" s="301" customFormat="1" ht="15" hidden="1" customHeight="1"/>
    <row r="424" s="301" customFormat="1" ht="15" hidden="1" customHeight="1"/>
    <row r="425" s="301" customFormat="1" ht="15" hidden="1" customHeight="1"/>
    <row r="426" s="301" customFormat="1" ht="15" hidden="1" customHeight="1"/>
    <row r="427" s="301" customFormat="1" ht="15" hidden="1" customHeight="1"/>
    <row r="428" s="301" customFormat="1" ht="15" hidden="1" customHeight="1"/>
    <row r="429" s="301" customFormat="1" ht="15" hidden="1" customHeight="1"/>
    <row r="430" s="301" customFormat="1" ht="15" hidden="1" customHeight="1"/>
    <row r="431" s="301" customFormat="1" ht="15" hidden="1" customHeight="1"/>
    <row r="432" s="301" customFormat="1" ht="15" hidden="1" customHeight="1"/>
    <row r="433" s="301" customFormat="1" ht="15" hidden="1" customHeight="1"/>
    <row r="434" s="301" customFormat="1" ht="15" hidden="1" customHeight="1"/>
    <row r="435" s="301" customFormat="1" ht="15" hidden="1" customHeight="1"/>
    <row r="436" s="301" customFormat="1" ht="15" hidden="1" customHeight="1"/>
    <row r="437" s="301" customFormat="1" ht="15" hidden="1" customHeight="1"/>
    <row r="438" s="301" customFormat="1" ht="15" hidden="1" customHeight="1"/>
    <row r="439" s="301" customFormat="1" ht="15" hidden="1" customHeight="1"/>
    <row r="440" s="301" customFormat="1" ht="15" hidden="1" customHeight="1"/>
    <row r="441" s="301" customFormat="1" ht="15" hidden="1" customHeight="1"/>
    <row r="442" s="301" customFormat="1" ht="15" hidden="1" customHeight="1"/>
    <row r="443" s="301" customFormat="1" ht="15" hidden="1" customHeight="1"/>
    <row r="444" s="301" customFormat="1" ht="15" hidden="1" customHeight="1"/>
    <row r="445" s="301" customFormat="1" ht="15" hidden="1" customHeight="1"/>
    <row r="446" s="301" customFormat="1" ht="15" hidden="1" customHeight="1"/>
    <row r="447" s="301" customFormat="1" ht="15" hidden="1" customHeight="1"/>
    <row r="448" s="301" customFormat="1" ht="15" hidden="1" customHeight="1"/>
    <row r="449" s="301" customFormat="1" ht="15" hidden="1" customHeight="1"/>
    <row r="450" s="301" customFormat="1" ht="15" hidden="1" customHeight="1"/>
    <row r="451" s="301" customFormat="1" ht="15" hidden="1" customHeight="1"/>
    <row r="452" s="301" customFormat="1" ht="15" hidden="1" customHeight="1"/>
    <row r="453" s="301" customFormat="1" ht="15" hidden="1" customHeight="1"/>
    <row r="454" s="301" customFormat="1" ht="15" hidden="1" customHeight="1"/>
    <row r="455" s="301" customFormat="1" ht="15" hidden="1" customHeight="1"/>
    <row r="456" s="301" customFormat="1" ht="15" hidden="1" customHeight="1"/>
    <row r="457" s="301" customFormat="1" ht="15" hidden="1" customHeight="1"/>
    <row r="458" s="301" customFormat="1" ht="15" hidden="1" customHeight="1"/>
    <row r="459" s="301" customFormat="1" ht="15" hidden="1" customHeight="1"/>
    <row r="460" s="301" customFormat="1" ht="15" hidden="1" customHeight="1"/>
    <row r="461" s="301" customFormat="1" ht="15" hidden="1" customHeight="1"/>
    <row r="462" s="301" customFormat="1" ht="15" hidden="1" customHeight="1"/>
    <row r="463" s="301" customFormat="1" ht="15" hidden="1" customHeight="1"/>
    <row r="464" s="301" customFormat="1" ht="15" hidden="1" customHeight="1"/>
    <row r="465" s="301" customFormat="1" ht="15" hidden="1" customHeight="1"/>
    <row r="466" s="301" customFormat="1" ht="15" hidden="1" customHeight="1"/>
    <row r="467" s="301" customFormat="1" ht="15" hidden="1" customHeight="1"/>
    <row r="468" s="301" customFormat="1" ht="15" hidden="1" customHeight="1"/>
    <row r="469" s="301" customFormat="1" ht="15" hidden="1" customHeight="1"/>
    <row r="470" s="301" customFormat="1" ht="15" hidden="1" customHeight="1"/>
    <row r="471" s="301" customFormat="1" ht="15" hidden="1" customHeight="1"/>
    <row r="472" s="301" customFormat="1" ht="15" hidden="1" customHeight="1"/>
    <row r="473" s="301" customFormat="1" ht="15" hidden="1" customHeight="1"/>
    <row r="474" s="301" customFormat="1" ht="15" hidden="1" customHeight="1"/>
    <row r="475" s="301" customFormat="1" ht="15" hidden="1" customHeight="1"/>
    <row r="476" s="301" customFormat="1" ht="15" hidden="1" customHeight="1"/>
    <row r="477" s="301" customFormat="1" ht="15" hidden="1" customHeight="1"/>
    <row r="478" s="301" customFormat="1" ht="15" hidden="1" customHeight="1"/>
    <row r="479" s="301" customFormat="1" ht="15" hidden="1" customHeight="1"/>
    <row r="480" s="301" customFormat="1" ht="15" hidden="1" customHeight="1"/>
    <row r="481" s="301" customFormat="1" ht="15" hidden="1" customHeight="1"/>
    <row r="482" s="301" customFormat="1" ht="15" hidden="1" customHeight="1"/>
    <row r="483" s="301" customFormat="1" ht="15" hidden="1" customHeight="1"/>
    <row r="484" s="301" customFormat="1" ht="15" hidden="1" customHeight="1"/>
    <row r="485" s="301" customFormat="1" ht="15" hidden="1" customHeight="1"/>
    <row r="486" s="301" customFormat="1" ht="15" hidden="1" customHeight="1"/>
    <row r="487" s="301" customFormat="1" ht="15" hidden="1" customHeight="1"/>
    <row r="488" s="301" customFormat="1" ht="15" hidden="1" customHeight="1"/>
    <row r="489" s="301" customFormat="1" ht="15" hidden="1" customHeight="1"/>
    <row r="490" s="301" customFormat="1" ht="15" hidden="1" customHeight="1"/>
    <row r="491" s="301" customFormat="1" ht="15" hidden="1" customHeight="1"/>
    <row r="492" s="301" customFormat="1" ht="15" hidden="1" customHeight="1"/>
    <row r="493" s="301" customFormat="1" ht="15" hidden="1" customHeight="1"/>
    <row r="494" s="301" customFormat="1" ht="15" hidden="1" customHeight="1"/>
    <row r="495" s="301" customFormat="1" ht="15" hidden="1" customHeight="1"/>
    <row r="496" s="301" customFormat="1" ht="15" hidden="1" customHeight="1"/>
    <row r="497" s="301" customFormat="1" ht="15" hidden="1" customHeight="1"/>
    <row r="498" s="301" customFormat="1" ht="15" hidden="1" customHeight="1"/>
    <row r="499" s="301" customFormat="1" ht="15" hidden="1" customHeight="1"/>
    <row r="500" s="301" customFormat="1" ht="15" hidden="1" customHeight="1"/>
    <row r="501" s="301" customFormat="1" ht="15" hidden="1" customHeight="1"/>
    <row r="502" s="301" customFormat="1" ht="15" hidden="1" customHeight="1"/>
    <row r="503" s="301" customFormat="1" ht="15" hidden="1" customHeight="1"/>
    <row r="504" s="301" customFormat="1" ht="15" hidden="1" customHeight="1"/>
    <row r="505" s="301" customFormat="1" ht="15" hidden="1" customHeight="1"/>
    <row r="506" s="301" customFormat="1" ht="15" hidden="1" customHeight="1"/>
    <row r="507" s="301" customFormat="1" ht="15" hidden="1" customHeight="1"/>
    <row r="508" s="301" customFormat="1" ht="15" hidden="1" customHeight="1"/>
    <row r="509" s="301" customFormat="1" ht="15" hidden="1" customHeight="1"/>
    <row r="510" s="301" customFormat="1" ht="15" hidden="1" customHeight="1"/>
    <row r="511" s="301" customFormat="1" ht="15" hidden="1" customHeight="1"/>
    <row r="512" s="301" customFormat="1" ht="15" hidden="1" customHeight="1"/>
    <row r="513" s="301" customFormat="1" ht="15" hidden="1" customHeight="1"/>
    <row r="514" s="301" customFormat="1" ht="15" hidden="1" customHeight="1"/>
    <row r="515" s="301" customFormat="1" ht="15" hidden="1" customHeight="1"/>
    <row r="516" s="301" customFormat="1" ht="15" hidden="1" customHeight="1"/>
    <row r="517" s="301" customFormat="1" ht="15" hidden="1" customHeight="1"/>
    <row r="518" s="301" customFormat="1" ht="15" hidden="1" customHeight="1"/>
    <row r="519" s="301" customFormat="1" ht="15" hidden="1" customHeight="1"/>
    <row r="520" s="301" customFormat="1" ht="15" hidden="1" customHeight="1"/>
    <row r="521" s="301" customFormat="1" ht="15" hidden="1" customHeight="1"/>
    <row r="522" s="301" customFormat="1" ht="15" hidden="1" customHeight="1"/>
    <row r="523" s="301" customFormat="1" ht="15" hidden="1" customHeight="1"/>
    <row r="524" s="301" customFormat="1" ht="15" hidden="1" customHeight="1"/>
    <row r="525" s="301" customFormat="1" ht="15" hidden="1" customHeight="1"/>
    <row r="526" s="301" customFormat="1" ht="15" hidden="1" customHeight="1"/>
    <row r="527" s="301" customFormat="1" ht="15" hidden="1" customHeight="1"/>
    <row r="528" s="301" customFormat="1" ht="15" hidden="1" customHeight="1"/>
    <row r="529" s="301" customFormat="1" ht="15" hidden="1" customHeight="1"/>
    <row r="530" s="301" customFormat="1" ht="15" hidden="1" customHeight="1"/>
    <row r="531" s="301" customFormat="1" ht="15" hidden="1" customHeight="1"/>
    <row r="532" s="301" customFormat="1" ht="15" hidden="1" customHeight="1"/>
    <row r="533" s="301" customFormat="1" ht="15" hidden="1" customHeight="1"/>
    <row r="534" s="301" customFormat="1" ht="15" hidden="1" customHeight="1"/>
    <row r="535" s="301" customFormat="1" ht="15" hidden="1" customHeight="1"/>
    <row r="536" s="301" customFormat="1" ht="15" hidden="1" customHeight="1"/>
    <row r="537" s="301" customFormat="1" ht="15" hidden="1" customHeight="1"/>
    <row r="538" s="301" customFormat="1" ht="15" hidden="1" customHeight="1"/>
    <row r="539" s="301" customFormat="1" ht="15" hidden="1" customHeight="1"/>
    <row r="540" s="301" customFormat="1" ht="15" hidden="1" customHeight="1"/>
    <row r="541" s="301" customFormat="1" ht="15" hidden="1" customHeight="1"/>
    <row r="542" s="301" customFormat="1" ht="15" hidden="1" customHeight="1"/>
    <row r="543" s="301" customFormat="1" ht="15" hidden="1" customHeight="1"/>
    <row r="544" s="301" customFormat="1" ht="15" hidden="1" customHeight="1"/>
    <row r="545" s="301" customFormat="1" ht="15" hidden="1" customHeight="1"/>
    <row r="546" s="301" customFormat="1" ht="15" hidden="1" customHeight="1"/>
    <row r="547" s="301" customFormat="1" ht="15" hidden="1" customHeight="1"/>
    <row r="548" s="301" customFormat="1" ht="15" hidden="1" customHeight="1"/>
    <row r="549" s="301" customFormat="1" ht="15" hidden="1" customHeight="1"/>
    <row r="550" s="301" customFormat="1" ht="15" hidden="1" customHeight="1"/>
    <row r="551" s="301" customFormat="1" ht="15" hidden="1" customHeight="1"/>
    <row r="552" s="301" customFormat="1" ht="15" hidden="1" customHeight="1"/>
    <row r="553" s="301" customFormat="1" ht="15" hidden="1" customHeight="1"/>
    <row r="554" s="301" customFormat="1" ht="15" hidden="1" customHeight="1"/>
    <row r="555" s="301" customFormat="1" ht="15" hidden="1" customHeight="1"/>
    <row r="556" s="301" customFormat="1" ht="15" hidden="1" customHeight="1"/>
    <row r="557" s="301" customFormat="1" ht="15" hidden="1" customHeight="1"/>
    <row r="558" s="301" customFormat="1" ht="15" hidden="1" customHeight="1"/>
    <row r="559" s="301" customFormat="1" ht="15" hidden="1" customHeight="1"/>
    <row r="560" s="301" customFormat="1" ht="15" hidden="1" customHeight="1"/>
    <row r="561" s="301" customFormat="1" ht="15" hidden="1" customHeight="1"/>
    <row r="562" s="301" customFormat="1" ht="15" hidden="1" customHeight="1"/>
    <row r="563" s="301" customFormat="1" ht="15" hidden="1" customHeight="1"/>
    <row r="564" s="301" customFormat="1" ht="15" hidden="1" customHeight="1"/>
    <row r="565" s="301" customFormat="1" ht="15" hidden="1" customHeight="1"/>
    <row r="566" s="301" customFormat="1" ht="15" hidden="1" customHeight="1"/>
    <row r="567" s="301" customFormat="1" ht="15" hidden="1" customHeight="1"/>
    <row r="568" s="301" customFormat="1" ht="15" hidden="1" customHeight="1"/>
    <row r="569" s="301" customFormat="1" ht="15" hidden="1" customHeight="1"/>
    <row r="570" s="301" customFormat="1" ht="15" hidden="1" customHeight="1"/>
    <row r="571" s="301" customFormat="1" ht="15" hidden="1" customHeight="1"/>
    <row r="572" s="301" customFormat="1" ht="15" hidden="1" customHeight="1"/>
    <row r="573" s="301" customFormat="1" ht="15" hidden="1" customHeight="1"/>
    <row r="574" s="301" customFormat="1" ht="15" hidden="1" customHeight="1"/>
    <row r="575" s="301" customFormat="1" ht="15" hidden="1" customHeight="1"/>
    <row r="576" s="301" customFormat="1" ht="15" hidden="1" customHeight="1"/>
    <row r="577" s="301" customFormat="1" ht="15" hidden="1" customHeight="1"/>
    <row r="578" s="301" customFormat="1" ht="15" hidden="1" customHeight="1"/>
    <row r="579" s="301" customFormat="1" ht="15" hidden="1" customHeight="1"/>
    <row r="580" s="301" customFormat="1" ht="15" hidden="1" customHeight="1"/>
    <row r="581" s="301" customFormat="1" ht="15" hidden="1" customHeight="1"/>
    <row r="582" s="301" customFormat="1" ht="15" hidden="1" customHeight="1"/>
    <row r="583" s="301" customFormat="1" ht="15" hidden="1" customHeight="1"/>
    <row r="584" s="301" customFormat="1" ht="15" hidden="1" customHeight="1"/>
    <row r="585" s="301" customFormat="1" ht="15" hidden="1" customHeight="1"/>
    <row r="586" s="301" customFormat="1" ht="15" hidden="1" customHeight="1"/>
    <row r="587" s="301" customFormat="1" ht="15" hidden="1" customHeight="1"/>
    <row r="588" s="301" customFormat="1" ht="15" hidden="1" customHeight="1"/>
    <row r="589" s="301" customFormat="1" ht="15" hidden="1" customHeight="1"/>
    <row r="590" s="301" customFormat="1" ht="15" hidden="1" customHeight="1"/>
    <row r="591" s="301" customFormat="1" ht="15" hidden="1" customHeight="1"/>
    <row r="592" s="301" customFormat="1" ht="15" hidden="1" customHeight="1"/>
    <row r="593" s="301" customFormat="1" ht="15" hidden="1" customHeight="1"/>
    <row r="594" s="301" customFormat="1" ht="15" hidden="1" customHeight="1"/>
    <row r="595" s="301" customFormat="1" ht="15" hidden="1" customHeight="1"/>
    <row r="596" s="301" customFormat="1" ht="15" hidden="1" customHeight="1"/>
    <row r="597" s="301" customFormat="1" ht="15" hidden="1" customHeight="1"/>
    <row r="598" s="301" customFormat="1" ht="15" hidden="1" customHeight="1"/>
    <row r="599" s="301" customFormat="1" ht="15" hidden="1" customHeight="1"/>
    <row r="600" s="301" customFormat="1" ht="15" hidden="1" customHeight="1"/>
    <row r="601" s="301" customFormat="1" ht="15" hidden="1" customHeight="1"/>
    <row r="602" s="301" customFormat="1" ht="15" hidden="1" customHeight="1"/>
    <row r="603" s="301" customFormat="1" ht="15" hidden="1" customHeight="1"/>
    <row r="604" s="301" customFormat="1" ht="15" hidden="1" customHeight="1"/>
    <row r="605" s="301" customFormat="1" ht="15" hidden="1" customHeight="1"/>
    <row r="606" s="301" customFormat="1" ht="15" hidden="1" customHeight="1"/>
    <row r="607" s="301" customFormat="1" ht="15" hidden="1" customHeight="1"/>
    <row r="608" s="301" customFormat="1" ht="15" hidden="1" customHeight="1"/>
    <row r="609" s="301" customFormat="1" ht="15" hidden="1" customHeight="1"/>
    <row r="610" s="301" customFormat="1" ht="15" hidden="1" customHeight="1"/>
    <row r="611" s="301" customFormat="1" ht="15" hidden="1" customHeight="1"/>
    <row r="612" s="301" customFormat="1" ht="15" hidden="1" customHeight="1"/>
    <row r="613" s="301" customFormat="1" ht="15" hidden="1" customHeight="1"/>
    <row r="614" s="301" customFormat="1" ht="15" hidden="1" customHeight="1"/>
    <row r="615" s="301" customFormat="1" ht="15" hidden="1" customHeight="1"/>
    <row r="616" s="301" customFormat="1" ht="15" hidden="1" customHeight="1"/>
    <row r="617" s="301" customFormat="1" ht="15" hidden="1" customHeight="1"/>
    <row r="618" s="301" customFormat="1" ht="15" hidden="1" customHeight="1"/>
    <row r="619" s="301" customFormat="1" ht="15" hidden="1" customHeight="1"/>
    <row r="620" s="301" customFormat="1" ht="15" hidden="1" customHeight="1"/>
    <row r="621" s="301" customFormat="1" ht="15" hidden="1" customHeight="1"/>
    <row r="622" s="301" customFormat="1" ht="15" hidden="1" customHeight="1"/>
    <row r="623" s="301" customFormat="1" ht="15" hidden="1" customHeight="1"/>
    <row r="624" s="301" customFormat="1" ht="15" hidden="1" customHeight="1"/>
    <row r="625" s="301" customFormat="1" ht="15" hidden="1" customHeight="1"/>
    <row r="626" s="301" customFormat="1" ht="15" hidden="1" customHeight="1"/>
    <row r="627" s="301" customFormat="1" ht="15" hidden="1" customHeight="1"/>
    <row r="628" s="301" customFormat="1" ht="15" hidden="1" customHeight="1"/>
    <row r="629" s="301" customFormat="1" ht="15" hidden="1" customHeight="1"/>
    <row r="630" s="301" customFormat="1" ht="15" hidden="1" customHeight="1"/>
    <row r="631" s="301" customFormat="1" ht="15" hidden="1" customHeight="1"/>
    <row r="632" s="301" customFormat="1" ht="15" hidden="1" customHeight="1"/>
    <row r="633" s="301" customFormat="1" ht="15" hidden="1" customHeight="1"/>
    <row r="634" s="301" customFormat="1" ht="15" hidden="1" customHeight="1"/>
    <row r="635" s="301" customFormat="1" ht="15" hidden="1" customHeight="1"/>
    <row r="636" s="301" customFormat="1" ht="15" hidden="1" customHeight="1"/>
    <row r="637" s="301" customFormat="1" ht="15" hidden="1" customHeight="1"/>
    <row r="638" s="301" customFormat="1" ht="15" hidden="1" customHeight="1"/>
    <row r="639" s="301" customFormat="1" ht="15" hidden="1" customHeight="1"/>
    <row r="640" s="301" customFormat="1" ht="15" hidden="1" customHeight="1"/>
    <row r="641" s="301" customFormat="1" ht="15" hidden="1" customHeight="1"/>
    <row r="642" s="301" customFormat="1" ht="15" hidden="1" customHeight="1"/>
    <row r="643" s="301" customFormat="1" ht="15" hidden="1" customHeight="1"/>
    <row r="644" s="301" customFormat="1" ht="15" hidden="1" customHeight="1"/>
    <row r="645" s="301" customFormat="1" ht="15" hidden="1" customHeight="1"/>
    <row r="646" s="301" customFormat="1" ht="15" hidden="1" customHeight="1"/>
    <row r="647" s="301" customFormat="1" ht="15" hidden="1" customHeight="1"/>
    <row r="648" s="301" customFormat="1" ht="15" hidden="1" customHeight="1"/>
    <row r="649" s="301" customFormat="1" ht="15" hidden="1" customHeight="1"/>
    <row r="650" s="301" customFormat="1" ht="15" hidden="1" customHeight="1"/>
    <row r="651" s="301" customFormat="1" ht="15" hidden="1" customHeight="1"/>
    <row r="652" s="301" customFormat="1" ht="15" hidden="1" customHeight="1"/>
    <row r="653" s="301" customFormat="1" ht="15" hidden="1" customHeight="1"/>
    <row r="654" s="301" customFormat="1" ht="15" hidden="1" customHeight="1"/>
    <row r="655" s="301" customFormat="1" ht="15" hidden="1" customHeight="1"/>
    <row r="656" s="301" customFormat="1" ht="15" hidden="1" customHeight="1"/>
    <row r="657" s="301" customFormat="1" ht="15" hidden="1" customHeight="1"/>
    <row r="658" s="301" customFormat="1" ht="15" hidden="1" customHeight="1"/>
    <row r="659" s="301" customFormat="1" ht="15" hidden="1" customHeight="1"/>
    <row r="660" s="301" customFormat="1" ht="15" hidden="1" customHeight="1"/>
    <row r="661" s="301" customFormat="1" ht="15" hidden="1" customHeight="1"/>
    <row r="662" s="301" customFormat="1" ht="15" hidden="1" customHeight="1"/>
    <row r="663" s="301" customFormat="1" ht="15" hidden="1" customHeight="1"/>
    <row r="664" s="301" customFormat="1" ht="15" hidden="1" customHeight="1"/>
    <row r="665" s="301" customFormat="1" ht="15" hidden="1" customHeight="1"/>
    <row r="666" s="301" customFormat="1" ht="15" hidden="1" customHeight="1"/>
    <row r="667" s="301" customFormat="1" ht="15" hidden="1" customHeight="1"/>
    <row r="668" s="301" customFormat="1" ht="15" hidden="1" customHeight="1"/>
    <row r="669" s="301" customFormat="1" ht="15" hidden="1" customHeight="1"/>
    <row r="670" s="301" customFormat="1" ht="15" hidden="1" customHeight="1"/>
    <row r="671" s="301" customFormat="1" ht="15" hidden="1" customHeight="1"/>
    <row r="672" s="301" customFormat="1" ht="15" hidden="1" customHeight="1"/>
    <row r="673" s="301" customFormat="1" ht="15" hidden="1" customHeight="1"/>
    <row r="674" s="301" customFormat="1" ht="15" hidden="1" customHeight="1"/>
    <row r="675" s="301" customFormat="1" ht="15" hidden="1" customHeight="1"/>
    <row r="676" s="301" customFormat="1" ht="15" hidden="1" customHeight="1"/>
    <row r="677" s="301" customFormat="1" ht="15" hidden="1" customHeight="1"/>
    <row r="678" s="301" customFormat="1" ht="15" hidden="1" customHeight="1"/>
    <row r="679" s="301" customFormat="1" ht="15" hidden="1" customHeight="1"/>
    <row r="680" s="301" customFormat="1" ht="15" hidden="1" customHeight="1"/>
    <row r="681" s="301" customFormat="1" ht="15" hidden="1" customHeight="1"/>
    <row r="682" s="301" customFormat="1" ht="15" hidden="1" customHeight="1"/>
    <row r="683" s="301" customFormat="1" ht="15" hidden="1" customHeight="1"/>
    <row r="684" s="301" customFormat="1" ht="15" hidden="1" customHeight="1"/>
    <row r="685" s="301" customFormat="1" ht="15" hidden="1" customHeight="1"/>
    <row r="686" s="301" customFormat="1" ht="15" hidden="1" customHeight="1"/>
    <row r="687" s="301" customFormat="1" ht="15" hidden="1" customHeight="1"/>
    <row r="688" s="301" customFormat="1" ht="15" hidden="1" customHeight="1"/>
    <row r="689" s="301" customFormat="1" ht="15" hidden="1" customHeight="1"/>
    <row r="690" s="301" customFormat="1" ht="15" hidden="1" customHeight="1"/>
    <row r="691" s="301" customFormat="1" ht="15" hidden="1" customHeight="1"/>
    <row r="692" s="301" customFormat="1" ht="15" hidden="1" customHeight="1"/>
    <row r="693" s="301" customFormat="1" ht="15" hidden="1" customHeight="1"/>
    <row r="694" s="301" customFormat="1" ht="15" hidden="1" customHeight="1"/>
    <row r="695" s="301" customFormat="1" ht="15" hidden="1" customHeight="1"/>
    <row r="696" s="301" customFormat="1" ht="15" hidden="1" customHeight="1"/>
    <row r="697" s="301" customFormat="1" ht="15" hidden="1" customHeight="1"/>
    <row r="698" s="301" customFormat="1" ht="15" hidden="1" customHeight="1"/>
    <row r="699" s="301" customFormat="1" ht="15" hidden="1" customHeight="1"/>
    <row r="700" s="301" customFormat="1" ht="15" hidden="1" customHeight="1"/>
    <row r="701" s="301" customFormat="1" ht="15" hidden="1" customHeight="1"/>
    <row r="702" s="301" customFormat="1" ht="15" hidden="1" customHeight="1"/>
    <row r="703" s="301" customFormat="1" ht="15" hidden="1" customHeight="1"/>
    <row r="704" s="301" customFormat="1" ht="15" hidden="1" customHeight="1"/>
    <row r="705" s="301" customFormat="1" ht="15" hidden="1" customHeight="1"/>
    <row r="706" s="301" customFormat="1" ht="15" hidden="1" customHeight="1"/>
    <row r="707" s="301" customFormat="1" ht="15" hidden="1" customHeight="1"/>
    <row r="708" s="301" customFormat="1" ht="15" hidden="1" customHeight="1"/>
    <row r="709" s="301" customFormat="1" ht="15" hidden="1" customHeight="1"/>
    <row r="710" s="301" customFormat="1" ht="15" hidden="1" customHeight="1"/>
    <row r="711" s="301" customFormat="1" ht="15" hidden="1" customHeight="1"/>
    <row r="712" s="301" customFormat="1" ht="15" hidden="1" customHeight="1"/>
    <row r="713" s="301" customFormat="1" ht="15" hidden="1" customHeight="1"/>
    <row r="714" s="301" customFormat="1" ht="15" hidden="1" customHeight="1"/>
    <row r="715" s="301" customFormat="1" ht="15" hidden="1" customHeight="1"/>
    <row r="716" s="301" customFormat="1" ht="15" hidden="1" customHeight="1"/>
    <row r="717" s="301" customFormat="1" ht="15" hidden="1" customHeight="1"/>
    <row r="718" s="301" customFormat="1" ht="15" hidden="1" customHeight="1"/>
    <row r="719" s="301" customFormat="1" ht="15" hidden="1" customHeight="1"/>
    <row r="720" s="301" customFormat="1" ht="15" hidden="1" customHeight="1"/>
    <row r="721" s="301" customFormat="1" ht="15" hidden="1" customHeight="1"/>
    <row r="722" s="301" customFormat="1" ht="15" hidden="1" customHeight="1"/>
    <row r="723" s="301" customFormat="1" ht="15" hidden="1" customHeight="1"/>
    <row r="724" s="301" customFormat="1" ht="15" hidden="1" customHeight="1"/>
    <row r="725" s="301" customFormat="1" ht="15" hidden="1" customHeight="1"/>
    <row r="726" s="301" customFormat="1" ht="15" hidden="1" customHeight="1"/>
    <row r="727" s="301" customFormat="1" ht="15" hidden="1" customHeight="1"/>
    <row r="728" s="301" customFormat="1" ht="15" hidden="1" customHeight="1"/>
    <row r="729" s="301" customFormat="1" ht="15" hidden="1" customHeight="1"/>
    <row r="730" s="301" customFormat="1" ht="15" hidden="1" customHeight="1"/>
    <row r="731" s="301" customFormat="1" ht="15" hidden="1" customHeight="1"/>
    <row r="732" s="301" customFormat="1" ht="15" hidden="1" customHeight="1"/>
    <row r="733" s="301" customFormat="1" ht="15" hidden="1" customHeight="1"/>
    <row r="734" s="301" customFormat="1" ht="15" hidden="1" customHeight="1"/>
    <row r="735" s="301" customFormat="1" ht="15" hidden="1" customHeight="1"/>
    <row r="736" s="301" customFormat="1" ht="15" hidden="1" customHeight="1"/>
    <row r="737" s="301" customFormat="1" ht="15" hidden="1" customHeight="1"/>
    <row r="738" s="301" customFormat="1" ht="15" hidden="1" customHeight="1"/>
    <row r="739" s="301" customFormat="1" ht="15" hidden="1" customHeight="1"/>
    <row r="740" s="301" customFormat="1" ht="15" hidden="1" customHeight="1"/>
    <row r="741" s="301" customFormat="1" ht="15" hidden="1" customHeight="1"/>
    <row r="742" s="301" customFormat="1" ht="15" hidden="1" customHeight="1"/>
    <row r="743" s="301" customFormat="1" ht="15" hidden="1" customHeight="1"/>
    <row r="744" s="301" customFormat="1" ht="15" hidden="1" customHeight="1"/>
    <row r="745" s="301" customFormat="1" ht="15" hidden="1" customHeight="1"/>
    <row r="746" s="301" customFormat="1" ht="15" hidden="1" customHeight="1"/>
    <row r="747" s="301" customFormat="1" ht="15" hidden="1" customHeight="1"/>
    <row r="748" s="301" customFormat="1" ht="15" hidden="1" customHeight="1"/>
    <row r="749" s="301" customFormat="1" ht="15" hidden="1" customHeight="1"/>
    <row r="750" s="301" customFormat="1" ht="15" hidden="1" customHeight="1"/>
    <row r="751" s="301" customFormat="1" ht="15" hidden="1" customHeight="1"/>
    <row r="752" s="301" customFormat="1" ht="15" hidden="1" customHeight="1"/>
    <row r="753" s="301" customFormat="1" ht="15" hidden="1" customHeight="1"/>
    <row r="754" s="301" customFormat="1" ht="15" hidden="1" customHeight="1"/>
    <row r="755" s="301" customFormat="1" ht="15" hidden="1" customHeight="1"/>
    <row r="756" s="301" customFormat="1" ht="15" hidden="1" customHeight="1"/>
    <row r="757" s="301" customFormat="1" ht="15" hidden="1" customHeight="1"/>
    <row r="758" s="301" customFormat="1" ht="15" hidden="1" customHeight="1"/>
    <row r="759" s="301" customFormat="1" ht="15" hidden="1" customHeight="1"/>
    <row r="760" s="301" customFormat="1" ht="15" hidden="1" customHeight="1"/>
    <row r="761" s="301" customFormat="1" ht="15" hidden="1" customHeight="1"/>
    <row r="762" s="301" customFormat="1" ht="15" hidden="1" customHeight="1"/>
    <row r="763" s="301" customFormat="1" ht="15" hidden="1" customHeight="1"/>
    <row r="764" s="301" customFormat="1" ht="15" hidden="1" customHeight="1"/>
    <row r="765" s="301" customFormat="1" ht="15" hidden="1" customHeight="1"/>
    <row r="766" s="301" customFormat="1" ht="15" hidden="1" customHeight="1"/>
    <row r="767" s="301" customFormat="1" ht="15" hidden="1" customHeight="1"/>
    <row r="768" s="301" customFormat="1" ht="15" hidden="1" customHeight="1"/>
    <row r="769" s="301" customFormat="1" ht="15" hidden="1" customHeight="1"/>
    <row r="770" s="301" customFormat="1" ht="15" hidden="1" customHeight="1"/>
    <row r="771" s="301" customFormat="1" ht="15" hidden="1" customHeight="1"/>
    <row r="772" s="301" customFormat="1" ht="15" hidden="1" customHeight="1"/>
    <row r="773" s="301" customFormat="1" ht="15" hidden="1" customHeight="1"/>
    <row r="774" s="301" customFormat="1" ht="15" hidden="1" customHeight="1"/>
    <row r="775" s="301" customFormat="1" ht="15" hidden="1" customHeight="1"/>
    <row r="776" s="301" customFormat="1" ht="15" hidden="1" customHeight="1"/>
    <row r="777" s="301" customFormat="1" ht="15" hidden="1" customHeight="1"/>
    <row r="778" s="301" customFormat="1" ht="15" hidden="1" customHeight="1"/>
    <row r="779" s="301" customFormat="1" ht="15" hidden="1" customHeight="1"/>
    <row r="780" s="301" customFormat="1" ht="15" hidden="1" customHeight="1"/>
    <row r="781" s="301" customFormat="1" ht="15" hidden="1" customHeight="1"/>
    <row r="782" s="301" customFormat="1" ht="15" hidden="1" customHeight="1"/>
    <row r="783" s="301" customFormat="1" ht="15" hidden="1" customHeight="1"/>
    <row r="784" s="301" customFormat="1" ht="15" hidden="1" customHeight="1"/>
    <row r="785" s="301" customFormat="1" ht="15" hidden="1" customHeight="1"/>
    <row r="786" s="301" customFormat="1" ht="15" hidden="1" customHeight="1"/>
    <row r="787" s="301" customFormat="1" ht="15" hidden="1" customHeight="1"/>
    <row r="788" s="301" customFormat="1" ht="15" hidden="1" customHeight="1"/>
    <row r="789" s="301" customFormat="1" ht="15" hidden="1" customHeight="1"/>
    <row r="790" s="301" customFormat="1" ht="15" hidden="1" customHeight="1"/>
    <row r="791" s="301" customFormat="1" ht="15" hidden="1" customHeight="1"/>
    <row r="792" s="301" customFormat="1" ht="15" hidden="1" customHeight="1"/>
    <row r="793" s="301" customFormat="1" ht="15" hidden="1" customHeight="1"/>
    <row r="794" s="301" customFormat="1" ht="15" hidden="1" customHeight="1"/>
    <row r="795" s="301" customFormat="1" ht="15" hidden="1" customHeight="1"/>
    <row r="796" s="301" customFormat="1" ht="15" hidden="1" customHeight="1"/>
    <row r="797" s="301" customFormat="1" ht="15" hidden="1" customHeight="1"/>
    <row r="798" s="301" customFormat="1" ht="15" hidden="1" customHeight="1"/>
    <row r="799" s="301" customFormat="1" ht="15" hidden="1" customHeight="1"/>
    <row r="800" s="301" customFormat="1" ht="15" hidden="1" customHeight="1"/>
    <row r="801" s="301" customFormat="1" ht="15" hidden="1" customHeight="1"/>
    <row r="802" s="301" customFormat="1" ht="15" hidden="1" customHeight="1"/>
    <row r="803" s="301" customFormat="1" ht="15" hidden="1" customHeight="1"/>
    <row r="804" s="301" customFormat="1" ht="15" hidden="1" customHeight="1"/>
    <row r="805" s="301" customFormat="1" ht="15" hidden="1" customHeight="1"/>
    <row r="806" s="301" customFormat="1" ht="15" hidden="1" customHeight="1"/>
    <row r="807" s="301" customFormat="1" ht="15" hidden="1" customHeight="1"/>
    <row r="808" s="301" customFormat="1" ht="15" hidden="1" customHeight="1"/>
    <row r="809" s="301" customFormat="1" ht="15" hidden="1" customHeight="1"/>
    <row r="810" s="301" customFormat="1" ht="15" hidden="1" customHeight="1"/>
    <row r="811" s="301" customFormat="1" ht="15" hidden="1" customHeight="1"/>
    <row r="812" s="301" customFormat="1" ht="15" hidden="1" customHeight="1"/>
    <row r="813" s="301" customFormat="1" ht="15" hidden="1" customHeight="1"/>
    <row r="814" s="301" customFormat="1" ht="15" hidden="1" customHeight="1"/>
    <row r="815" s="301" customFormat="1" ht="15" hidden="1" customHeight="1"/>
    <row r="816" s="301" customFormat="1" ht="15" hidden="1" customHeight="1"/>
    <row r="817" s="301" customFormat="1" ht="15" hidden="1" customHeight="1"/>
    <row r="818" s="301" customFormat="1" ht="15" hidden="1" customHeight="1"/>
    <row r="819" s="301" customFormat="1" ht="15" hidden="1" customHeight="1"/>
    <row r="820" s="301" customFormat="1" ht="15" hidden="1" customHeight="1"/>
    <row r="821" s="301" customFormat="1" ht="15" hidden="1" customHeight="1"/>
    <row r="822" s="301" customFormat="1" ht="15" hidden="1" customHeight="1"/>
    <row r="823" s="301" customFormat="1" ht="15" hidden="1" customHeight="1"/>
    <row r="824" s="301" customFormat="1" ht="15" hidden="1" customHeight="1"/>
    <row r="825" s="301" customFormat="1" ht="15" hidden="1" customHeight="1"/>
    <row r="826" s="301" customFormat="1" ht="15" hidden="1" customHeight="1"/>
    <row r="827" s="301" customFormat="1" ht="15" hidden="1" customHeight="1"/>
    <row r="828" s="301" customFormat="1" ht="15" hidden="1" customHeight="1"/>
    <row r="829" s="301" customFormat="1" ht="15" hidden="1" customHeight="1"/>
    <row r="830" s="301" customFormat="1" ht="15" hidden="1" customHeight="1"/>
    <row r="831" s="301" customFormat="1" ht="15" hidden="1" customHeight="1"/>
    <row r="832" s="301" customFormat="1" ht="15" hidden="1" customHeight="1"/>
    <row r="833" s="301" customFormat="1" ht="15" hidden="1" customHeight="1"/>
    <row r="834" s="301" customFormat="1" ht="15" hidden="1" customHeight="1"/>
    <row r="835" s="301" customFormat="1" ht="15" hidden="1" customHeight="1"/>
    <row r="836" s="301" customFormat="1" ht="15" hidden="1" customHeight="1"/>
    <row r="837" s="301" customFormat="1" ht="15" hidden="1" customHeight="1"/>
    <row r="838" s="301" customFormat="1" ht="15" hidden="1" customHeight="1"/>
    <row r="839" s="301" customFormat="1" ht="15" hidden="1" customHeight="1"/>
    <row r="840" s="301" customFormat="1" ht="15" hidden="1" customHeight="1"/>
    <row r="841" s="301" customFormat="1" ht="15" hidden="1" customHeight="1"/>
    <row r="842" s="301" customFormat="1" ht="15" hidden="1" customHeight="1"/>
    <row r="843" s="301" customFormat="1" ht="15" hidden="1" customHeight="1"/>
    <row r="844" s="301" customFormat="1" ht="15" hidden="1" customHeight="1"/>
    <row r="845" s="301" customFormat="1" ht="15" hidden="1" customHeight="1"/>
    <row r="846" s="301" customFormat="1" ht="15" hidden="1" customHeight="1"/>
    <row r="847" s="301" customFormat="1" ht="15" hidden="1" customHeight="1"/>
    <row r="848" s="301" customFormat="1" ht="15" hidden="1" customHeight="1"/>
    <row r="849" s="301" customFormat="1" ht="15" hidden="1" customHeight="1"/>
    <row r="850" s="301" customFormat="1" ht="15" hidden="1" customHeight="1"/>
    <row r="851" s="301" customFormat="1" ht="15" hidden="1" customHeight="1"/>
    <row r="852" s="301" customFormat="1" ht="15" hidden="1" customHeight="1"/>
    <row r="853" s="301" customFormat="1" ht="15" hidden="1" customHeight="1"/>
    <row r="854" s="301" customFormat="1" ht="15" hidden="1" customHeight="1"/>
    <row r="855" s="301" customFormat="1" ht="15" hidden="1" customHeight="1"/>
    <row r="856" s="301" customFormat="1" ht="15" hidden="1" customHeight="1"/>
    <row r="857" s="301" customFormat="1" ht="15" hidden="1" customHeight="1"/>
    <row r="858" s="301" customFormat="1" ht="15" hidden="1" customHeight="1"/>
    <row r="859" s="301" customFormat="1" ht="15" hidden="1" customHeight="1"/>
    <row r="860" s="301" customFormat="1" ht="15" hidden="1" customHeight="1"/>
    <row r="861" s="301" customFormat="1" ht="15" hidden="1" customHeight="1"/>
    <row r="862" s="301" customFormat="1" ht="15" hidden="1" customHeight="1"/>
    <row r="863" s="301" customFormat="1" ht="15" hidden="1" customHeight="1"/>
    <row r="864" s="301" customFormat="1" ht="15" hidden="1" customHeight="1"/>
    <row r="865" s="301" customFormat="1" ht="15" hidden="1" customHeight="1"/>
    <row r="866" s="301" customFormat="1" ht="15" hidden="1" customHeight="1"/>
    <row r="867" s="301" customFormat="1" ht="15" hidden="1" customHeight="1"/>
    <row r="868" s="301" customFormat="1" ht="15" hidden="1" customHeight="1"/>
    <row r="869" s="301" customFormat="1" ht="15" hidden="1" customHeight="1"/>
    <row r="870" s="301" customFormat="1" ht="15" hidden="1" customHeight="1"/>
    <row r="871" s="301" customFormat="1" ht="15" hidden="1" customHeight="1"/>
    <row r="872" s="301" customFormat="1" ht="15" hidden="1" customHeight="1"/>
    <row r="873" s="301" customFormat="1" ht="15" hidden="1" customHeight="1"/>
    <row r="874" s="301" customFormat="1" ht="15" hidden="1" customHeight="1"/>
    <row r="875" s="301" customFormat="1" ht="15" hidden="1" customHeight="1"/>
    <row r="876" s="301" customFormat="1" ht="15" hidden="1" customHeight="1"/>
    <row r="877" s="301" customFormat="1" ht="15" hidden="1" customHeight="1"/>
    <row r="878" s="301" customFormat="1" ht="15" hidden="1" customHeight="1"/>
    <row r="879" s="301" customFormat="1" ht="15" hidden="1" customHeight="1"/>
    <row r="880" s="301" customFormat="1" ht="15" hidden="1" customHeight="1"/>
    <row r="881" s="301" customFormat="1" ht="15" hidden="1" customHeight="1"/>
    <row r="882" s="301" customFormat="1" ht="15" hidden="1" customHeight="1"/>
    <row r="883" s="301" customFormat="1" ht="15" hidden="1" customHeight="1"/>
    <row r="884" s="301" customFormat="1" ht="15" hidden="1" customHeight="1"/>
    <row r="885" s="301" customFormat="1" ht="15" hidden="1" customHeight="1"/>
    <row r="886" s="301" customFormat="1" ht="15" hidden="1" customHeight="1"/>
    <row r="887" s="301" customFormat="1" ht="15" hidden="1" customHeight="1"/>
    <row r="888" s="301" customFormat="1" ht="15" hidden="1" customHeight="1"/>
    <row r="889" s="301" customFormat="1" ht="15" hidden="1" customHeight="1"/>
    <row r="890" s="301" customFormat="1" ht="15" hidden="1" customHeight="1"/>
    <row r="891" s="301" customFormat="1" ht="15" hidden="1" customHeight="1"/>
    <row r="892" s="301" customFormat="1" ht="15" hidden="1" customHeight="1"/>
    <row r="893" s="301" customFormat="1" ht="15" hidden="1" customHeight="1"/>
    <row r="894" s="301" customFormat="1" ht="15" hidden="1" customHeight="1"/>
    <row r="895" s="301" customFormat="1" ht="15" hidden="1" customHeight="1"/>
    <row r="896" s="301" customFormat="1" ht="15" hidden="1" customHeight="1"/>
    <row r="897" s="301" customFormat="1" ht="15" hidden="1" customHeight="1"/>
    <row r="898" s="301" customFormat="1" ht="15" hidden="1" customHeight="1"/>
    <row r="899" s="301" customFormat="1" ht="15" hidden="1" customHeight="1"/>
    <row r="900" s="301" customFormat="1" ht="15" hidden="1" customHeight="1"/>
    <row r="901" s="301" customFormat="1" ht="15" hidden="1" customHeight="1"/>
    <row r="902" s="301" customFormat="1" ht="15" hidden="1" customHeight="1"/>
    <row r="903" s="301" customFormat="1" ht="15" hidden="1" customHeight="1"/>
    <row r="904" s="301" customFormat="1" ht="15" hidden="1" customHeight="1"/>
    <row r="905" s="301" customFormat="1" ht="15" hidden="1" customHeight="1"/>
    <row r="906" s="301" customFormat="1" ht="15" hidden="1" customHeight="1"/>
    <row r="907" s="301" customFormat="1" ht="15" hidden="1" customHeight="1"/>
    <row r="908" s="301" customFormat="1" ht="15" hidden="1" customHeight="1"/>
    <row r="909" s="301" customFormat="1" ht="15" hidden="1" customHeight="1"/>
    <row r="910" s="301" customFormat="1" ht="15" hidden="1" customHeight="1"/>
    <row r="911" s="301" customFormat="1" ht="15" hidden="1" customHeight="1"/>
    <row r="912" s="301" customFormat="1" ht="15" hidden="1" customHeight="1"/>
    <row r="913" s="301" customFormat="1" ht="15" hidden="1" customHeight="1"/>
    <row r="914" s="301" customFormat="1" ht="15" hidden="1" customHeight="1"/>
    <row r="915" s="301" customFormat="1" ht="15" hidden="1" customHeight="1"/>
    <row r="916" s="301" customFormat="1" ht="15" hidden="1" customHeight="1"/>
    <row r="917" s="301" customFormat="1" ht="15" hidden="1" customHeight="1"/>
    <row r="918" s="301" customFormat="1" ht="15" hidden="1" customHeight="1"/>
    <row r="919" s="301" customFormat="1" ht="15" hidden="1" customHeight="1"/>
    <row r="920" s="301" customFormat="1" ht="15" hidden="1" customHeight="1"/>
    <row r="921" s="301" customFormat="1" ht="15" hidden="1" customHeight="1"/>
    <row r="922" s="301" customFormat="1" ht="15" hidden="1" customHeight="1"/>
    <row r="923" s="301" customFormat="1" ht="15" hidden="1" customHeight="1"/>
    <row r="924" s="301" customFormat="1" ht="15" hidden="1" customHeight="1"/>
    <row r="925" s="301" customFormat="1" ht="15" hidden="1" customHeight="1"/>
    <row r="926" s="301" customFormat="1" ht="15" hidden="1" customHeight="1"/>
    <row r="927" s="301" customFormat="1" ht="15" hidden="1" customHeight="1"/>
    <row r="928" s="301" customFormat="1" ht="15" hidden="1" customHeight="1"/>
    <row r="929" s="301" customFormat="1" ht="15" hidden="1" customHeight="1"/>
    <row r="930" s="301" customFormat="1" ht="15" hidden="1" customHeight="1"/>
    <row r="931" s="301" customFormat="1" ht="15" hidden="1" customHeight="1"/>
    <row r="932" s="301" customFormat="1" ht="15" hidden="1" customHeight="1"/>
    <row r="933" s="301" customFormat="1" ht="15" hidden="1" customHeight="1"/>
    <row r="934" s="301" customFormat="1" ht="15" hidden="1" customHeight="1"/>
    <row r="935" s="301" customFormat="1" ht="15" hidden="1" customHeight="1"/>
    <row r="936" s="301" customFormat="1" ht="15" hidden="1" customHeight="1"/>
    <row r="937" s="301" customFormat="1" ht="15" hidden="1" customHeight="1"/>
    <row r="938" s="301" customFormat="1" ht="15" hidden="1" customHeight="1"/>
    <row r="939" s="301" customFormat="1" ht="15" hidden="1" customHeight="1"/>
    <row r="940" s="301" customFormat="1" ht="15" hidden="1" customHeight="1"/>
    <row r="941" s="301" customFormat="1" ht="15" hidden="1" customHeight="1"/>
    <row r="942" s="301" customFormat="1" ht="15" hidden="1" customHeight="1"/>
    <row r="943" s="301" customFormat="1" ht="15" hidden="1" customHeight="1"/>
    <row r="944" s="301" customFormat="1" ht="15" hidden="1" customHeight="1"/>
    <row r="945" s="301" customFormat="1" ht="15" hidden="1" customHeight="1"/>
    <row r="946" s="301" customFormat="1" ht="15" hidden="1" customHeight="1"/>
    <row r="947" s="301" customFormat="1" ht="15" hidden="1" customHeight="1"/>
    <row r="948" s="301" customFormat="1" ht="15" hidden="1" customHeight="1"/>
    <row r="949" s="301" customFormat="1" ht="15" hidden="1" customHeight="1"/>
    <row r="950" s="301" customFormat="1" ht="15" hidden="1" customHeight="1"/>
    <row r="951" s="301" customFormat="1" ht="15" hidden="1" customHeight="1"/>
    <row r="952" s="301" customFormat="1" ht="15" hidden="1" customHeight="1"/>
    <row r="953" s="301" customFormat="1" ht="15" hidden="1" customHeight="1"/>
    <row r="954" s="301" customFormat="1" ht="15" hidden="1" customHeight="1"/>
    <row r="955" s="301" customFormat="1" ht="15" hidden="1" customHeight="1"/>
    <row r="956" s="301" customFormat="1" ht="15" hidden="1" customHeight="1"/>
    <row r="957" s="301" customFormat="1" ht="15" hidden="1" customHeight="1"/>
    <row r="958" s="301" customFormat="1" ht="15" hidden="1" customHeight="1"/>
    <row r="959" s="301" customFormat="1" ht="15" hidden="1" customHeight="1"/>
    <row r="960" s="301" customFormat="1" ht="15" hidden="1" customHeight="1"/>
    <row r="961" s="301" customFormat="1" ht="15" hidden="1" customHeight="1"/>
    <row r="962" s="301" customFormat="1" ht="15" hidden="1" customHeight="1"/>
    <row r="963" s="301" customFormat="1" ht="15" hidden="1" customHeight="1"/>
    <row r="964" s="301" customFormat="1" ht="15" hidden="1" customHeight="1"/>
    <row r="965" s="301" customFormat="1" ht="15" hidden="1" customHeight="1"/>
    <row r="966" s="301" customFormat="1" ht="15" hidden="1" customHeight="1"/>
    <row r="967" s="301" customFormat="1" ht="15" hidden="1" customHeight="1"/>
    <row r="968" s="301" customFormat="1" ht="15" hidden="1" customHeight="1"/>
    <row r="969" s="301" customFormat="1" ht="15" hidden="1" customHeight="1"/>
    <row r="970" s="301" customFormat="1" ht="15" hidden="1" customHeight="1"/>
    <row r="971" s="301" customFormat="1" ht="15" hidden="1" customHeight="1"/>
    <row r="972" s="301" customFormat="1" ht="15" hidden="1" customHeight="1"/>
    <row r="973" s="301" customFormat="1" ht="15" hidden="1" customHeight="1"/>
    <row r="974" s="301" customFormat="1" ht="15" hidden="1" customHeight="1"/>
    <row r="975" s="301" customFormat="1" ht="15" hidden="1" customHeight="1"/>
    <row r="976" s="301" customFormat="1" ht="15" hidden="1" customHeight="1"/>
    <row r="977" s="301" customFormat="1" ht="15" hidden="1" customHeight="1"/>
    <row r="978" s="301" customFormat="1" ht="15" hidden="1" customHeight="1"/>
    <row r="979" s="301" customFormat="1" ht="15" hidden="1" customHeight="1"/>
    <row r="980" s="301" customFormat="1" ht="15" hidden="1" customHeight="1"/>
    <row r="981" s="301" customFormat="1" ht="15" hidden="1" customHeight="1"/>
    <row r="982" s="301" customFormat="1" ht="15" hidden="1" customHeight="1"/>
    <row r="983" s="301" customFormat="1" ht="15" hidden="1" customHeight="1"/>
    <row r="984" s="301" customFormat="1" ht="15" hidden="1" customHeight="1"/>
    <row r="985" s="301" customFormat="1" ht="15" hidden="1" customHeight="1"/>
    <row r="986" s="301" customFormat="1" ht="15" hidden="1" customHeight="1"/>
    <row r="987" s="301" customFormat="1" ht="15" hidden="1" customHeight="1"/>
    <row r="988" s="301" customFormat="1" ht="15" hidden="1" customHeight="1"/>
    <row r="989" s="301" customFormat="1" ht="15" hidden="1" customHeight="1"/>
    <row r="990" s="301" customFormat="1" ht="15" hidden="1" customHeight="1"/>
    <row r="991" s="301" customFormat="1" ht="15" hidden="1" customHeight="1"/>
    <row r="992" s="301" customFormat="1" ht="15" hidden="1" customHeight="1"/>
    <row r="993" s="301" customFormat="1" ht="15" hidden="1" customHeight="1"/>
    <row r="994" s="301" customFormat="1" ht="15" hidden="1" customHeight="1"/>
    <row r="995" s="301" customFormat="1" ht="15" hidden="1" customHeight="1"/>
    <row r="996" s="301" customFormat="1" ht="15" hidden="1" customHeight="1"/>
    <row r="997" s="301" customFormat="1" ht="15" hidden="1" customHeight="1"/>
    <row r="998" s="301" customFormat="1" ht="15" hidden="1" customHeight="1"/>
    <row r="999" s="301" customFormat="1" ht="15" hidden="1" customHeight="1"/>
    <row r="1000" s="301" customFormat="1" ht="15" hidden="1" customHeight="1"/>
    <row r="1001" s="301" customFormat="1" ht="15" hidden="1" customHeight="1"/>
    <row r="1002" s="301" customFormat="1" ht="15" hidden="1" customHeight="1"/>
    <row r="1003" s="301" customFormat="1" ht="15" hidden="1" customHeight="1"/>
    <row r="1004" s="301" customFormat="1" ht="15" hidden="1" customHeight="1"/>
    <row r="1005" s="301" customFormat="1" ht="15" hidden="1" customHeight="1"/>
    <row r="1006" s="301" customFormat="1" ht="15" hidden="1" customHeight="1"/>
  </sheetData>
  <sheetProtection algorithmName="SHA-512" hashValue="PoSA6MmnT+YE/gyPilNyNHo491zm4cnA9zr/Q2WjKum58JeNd3YZ4uVYfrn2smHOQYMzxjjo2htcFoRcjnQ16w==" saltValue="AFmcIYRz/bv9WGlxjcVdvg==" spinCount="100000" sheet="1" objects="1" scenarios="1" formatRows="0"/>
  <mergeCells count="64">
    <mergeCell ref="R60:U60"/>
    <mergeCell ref="N60:Q60"/>
    <mergeCell ref="C60:M60"/>
    <mergeCell ref="C11:R11"/>
    <mergeCell ref="T11:T15"/>
    <mergeCell ref="U11:U15"/>
    <mergeCell ref="C12:R12"/>
    <mergeCell ref="C13:R13"/>
    <mergeCell ref="C14:R14"/>
    <mergeCell ref="C15:R15"/>
    <mergeCell ref="C18:R18"/>
    <mergeCell ref="T18:T22"/>
    <mergeCell ref="U18:U22"/>
    <mergeCell ref="C19:R19"/>
    <mergeCell ref="C20:R20"/>
    <mergeCell ref="C21:R21"/>
    <mergeCell ref="A1:U1"/>
    <mergeCell ref="A2:U2"/>
    <mergeCell ref="B8:P8"/>
    <mergeCell ref="Q8:U8"/>
    <mergeCell ref="B9:U9"/>
    <mergeCell ref="J4:L4"/>
    <mergeCell ref="C22:R22"/>
    <mergeCell ref="C25:R25"/>
    <mergeCell ref="T25:T29"/>
    <mergeCell ref="U25:U29"/>
    <mergeCell ref="C26:R26"/>
    <mergeCell ref="C27:R27"/>
    <mergeCell ref="C28:R28"/>
    <mergeCell ref="C29:R29"/>
    <mergeCell ref="C32:R32"/>
    <mergeCell ref="T32:T36"/>
    <mergeCell ref="U32:U36"/>
    <mergeCell ref="C33:R33"/>
    <mergeCell ref="C34:R34"/>
    <mergeCell ref="C35:R35"/>
    <mergeCell ref="C36:R36"/>
    <mergeCell ref="C39:R39"/>
    <mergeCell ref="T39:T43"/>
    <mergeCell ref="U39:U43"/>
    <mergeCell ref="C40:R40"/>
    <mergeCell ref="C41:R41"/>
    <mergeCell ref="C42:R42"/>
    <mergeCell ref="C43:R43"/>
    <mergeCell ref="C46:R46"/>
    <mergeCell ref="T46:T50"/>
    <mergeCell ref="U46:U50"/>
    <mergeCell ref="C47:R47"/>
    <mergeCell ref="C48:R48"/>
    <mergeCell ref="C49:R49"/>
    <mergeCell ref="C50:R50"/>
    <mergeCell ref="C53:R53"/>
    <mergeCell ref="T53:T57"/>
    <mergeCell ref="U53:U57"/>
    <mergeCell ref="C54:R54"/>
    <mergeCell ref="C55:R55"/>
    <mergeCell ref="C56:R56"/>
    <mergeCell ref="C57:R57"/>
    <mergeCell ref="R63:U63"/>
    <mergeCell ref="R64:U64"/>
    <mergeCell ref="B63:H63"/>
    <mergeCell ref="B64:H64"/>
    <mergeCell ref="K63:P63"/>
    <mergeCell ref="K64:P64"/>
  </mergeCells>
  <conditionalFormatting sqref="C60:U60">
    <cfRule type="expression" dxfId="31" priority="1">
      <formula>selected_career_stage="Distinguished"</formula>
    </cfRule>
    <cfRule type="expression" dxfId="30" priority="2">
      <formula>selected_career_stage="Highly Proficient"</formula>
    </cfRule>
    <cfRule type="expression" dxfId="29" priority="3">
      <formula>selected_career_stage="Proficient"</formula>
    </cfRule>
    <cfRule type="expression" dxfId="28" priority="4">
      <formula>selected_career_stage="Beginning towards Proficient"</formula>
    </cfRule>
  </conditionalFormatting>
  <dataValidations count="1">
    <dataValidation type="list" allowBlank="1" showInputMessage="1" showErrorMessage="1" sqref="S11:S15 S18:S22 S46:S50 S25:S29 S32:S36 S39:S43 S53:S57 S59" xr:uid="{18EBDEED-2800-4D7B-BB7D-3C1A7209B78B}">
      <formula1>"5,4,3,2,1"</formula1>
    </dataValidation>
  </dataValidations>
  <pageMargins left="0.70866141732283472" right="0.70866141732283472" top="0.74803149606299213" bottom="0.74803149606299213" header="0" footer="0"/>
  <pageSetup paperSize="9" scale="5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Save">
              <controlPr defaultSize="0" print="0" autoFill="0" autoPict="0" macro="[0]!nextPage">
                <anchor moveWithCells="1" sizeWithCells="1">
                  <from>
                    <xdr:col>10</xdr:col>
                    <xdr:colOff>411480</xdr:colOff>
                    <xdr:row>70</xdr:row>
                    <xdr:rowOff>152400</xdr:rowOff>
                  </from>
                  <to>
                    <xdr:col>15</xdr:col>
                    <xdr:colOff>160020</xdr:colOff>
                    <xdr:row>74</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4CF7A-8D99-4E80-A3C6-FB9276BE03BC}">
  <sheetPr codeName="Sheet7">
    <pageSetUpPr fitToPage="1"/>
  </sheetPr>
  <dimension ref="B1:I29"/>
  <sheetViews>
    <sheetView zoomScale="110" zoomScaleNormal="110" zoomScaleSheetLayoutView="100" workbookViewId="0">
      <selection activeCell="E18" sqref="E18:E22"/>
    </sheetView>
  </sheetViews>
  <sheetFormatPr defaultColWidth="8.77734375" defaultRowHeight="14.4"/>
  <cols>
    <col min="1" max="1" width="3.5546875" style="320" customWidth="1"/>
    <col min="2" max="2" width="16.33203125" style="320" customWidth="1"/>
    <col min="3" max="3" width="19.44140625" style="320" customWidth="1"/>
    <col min="4" max="4" width="37.44140625" style="320" customWidth="1"/>
    <col min="5" max="5" width="10.44140625" style="320" customWidth="1"/>
    <col min="6" max="6" width="10.6640625" style="320" customWidth="1"/>
    <col min="7" max="7" width="18.44140625" style="320" customWidth="1"/>
    <col min="8" max="8" width="3.6640625" style="320" customWidth="1"/>
    <col min="9" max="22" width="8.77734375" style="320"/>
    <col min="23" max="23" width="9.5546875" style="320" customWidth="1"/>
    <col min="24" max="16384" width="8.77734375" style="320"/>
  </cols>
  <sheetData>
    <row r="1" spans="2:7" ht="35.549999999999997" customHeight="1">
      <c r="B1" s="923" t="str">
        <f>HOME!A1</f>
        <v>OFFICIAL ELECTRONIC IPCRF TOOL
 SY 2025-2026</v>
      </c>
      <c r="C1" s="924"/>
      <c r="D1" s="924"/>
      <c r="E1" s="924"/>
      <c r="F1" s="924"/>
      <c r="G1" s="924"/>
    </row>
    <row r="2" spans="2:7" ht="17.55" customHeight="1">
      <c r="B2" s="925" t="str">
        <f>HOME!E17&amp;" Teacher"</f>
        <v>Beginning towards Proficient Teacher</v>
      </c>
      <c r="C2" s="925"/>
      <c r="D2" s="925"/>
      <c r="E2" s="925"/>
      <c r="F2" s="925"/>
      <c r="G2" s="925"/>
    </row>
    <row r="4" spans="2:7" ht="82.95" customHeight="1">
      <c r="B4" s="926" t="s">
        <v>1597</v>
      </c>
      <c r="C4" s="927"/>
      <c r="D4" s="927"/>
      <c r="E4" s="927"/>
      <c r="F4" s="927"/>
      <c r="G4" s="927"/>
    </row>
    <row r="5" spans="2:7" ht="99.45" customHeight="1" thickBot="1">
      <c r="B5" s="933" t="s">
        <v>55</v>
      </c>
      <c r="C5" s="933"/>
      <c r="D5" s="933"/>
      <c r="E5" s="928" t="s">
        <v>56</v>
      </c>
      <c r="F5" s="928"/>
      <c r="G5" s="928"/>
    </row>
    <row r="6" spans="2:7" ht="9.4499999999999993" customHeight="1">
      <c r="B6" s="934" t="s">
        <v>57</v>
      </c>
      <c r="C6" s="929" t="s">
        <v>58</v>
      </c>
      <c r="D6" s="930"/>
      <c r="E6" s="322"/>
      <c r="F6" s="322"/>
      <c r="G6" s="323"/>
    </row>
    <row r="7" spans="2:7" ht="9.4499999999999993" customHeight="1" thickBot="1">
      <c r="B7" s="921"/>
      <c r="C7" s="931"/>
      <c r="D7" s="932"/>
      <c r="E7" s="321"/>
      <c r="F7" s="321"/>
      <c r="G7" s="324"/>
    </row>
    <row r="8" spans="2:7" ht="43.05" customHeight="1">
      <c r="B8" s="918" t="s">
        <v>59</v>
      </c>
      <c r="C8" s="912" t="s">
        <v>60</v>
      </c>
      <c r="D8" s="913"/>
      <c r="E8" s="118"/>
      <c r="F8" s="901" t="str">
        <f>IF(COUNTBLANK(E8:E12)&gt;0,"",ROUND(AVERAGE(E8:E12),3))</f>
        <v/>
      </c>
      <c r="G8" s="904" t="str">
        <f>IFERROR(VLOOKUP(F8,core,2,1),"")</f>
        <v/>
      </c>
    </row>
    <row r="9" spans="2:7" ht="28.05" customHeight="1">
      <c r="B9" s="919"/>
      <c r="C9" s="914" t="s">
        <v>61</v>
      </c>
      <c r="D9" s="915"/>
      <c r="E9" s="119"/>
      <c r="F9" s="902"/>
      <c r="G9" s="905"/>
    </row>
    <row r="10" spans="2:7" ht="28.05" customHeight="1">
      <c r="B10" s="919"/>
      <c r="C10" s="914" t="s">
        <v>62</v>
      </c>
      <c r="D10" s="915"/>
      <c r="E10" s="119"/>
      <c r="F10" s="902"/>
      <c r="G10" s="905"/>
    </row>
    <row r="11" spans="2:7" ht="28.05" customHeight="1">
      <c r="B11" s="919"/>
      <c r="C11" s="914" t="s">
        <v>63</v>
      </c>
      <c r="D11" s="915"/>
      <c r="E11" s="119"/>
      <c r="F11" s="902"/>
      <c r="G11" s="905"/>
    </row>
    <row r="12" spans="2:7" ht="43.05" customHeight="1" thickBot="1">
      <c r="B12" s="920"/>
      <c r="C12" s="916" t="s">
        <v>64</v>
      </c>
      <c r="D12" s="917"/>
      <c r="E12" s="120"/>
      <c r="F12" s="903"/>
      <c r="G12" s="906"/>
    </row>
    <row r="13" spans="2:7" ht="59.55" customHeight="1">
      <c r="B13" s="909" t="s">
        <v>65</v>
      </c>
      <c r="C13" s="912" t="s">
        <v>66</v>
      </c>
      <c r="D13" s="913"/>
      <c r="E13" s="1"/>
      <c r="F13" s="901" t="str">
        <f t="shared" ref="F13" si="0">IF(COUNTBLANK(E13:E17)&gt;0,"",ROUND(AVERAGE(E13:E17),3))</f>
        <v/>
      </c>
      <c r="G13" s="904" t="str">
        <f>IFERROR(VLOOKUP(F13,core,2,1),"")</f>
        <v/>
      </c>
    </row>
    <row r="14" spans="2:7" ht="28.05" customHeight="1">
      <c r="B14" s="921"/>
      <c r="C14" s="914" t="s">
        <v>67</v>
      </c>
      <c r="D14" s="915"/>
      <c r="E14" s="2"/>
      <c r="F14" s="902"/>
      <c r="G14" s="905"/>
    </row>
    <row r="15" spans="2:7" ht="28.05" customHeight="1">
      <c r="B15" s="921"/>
      <c r="C15" s="914" t="s">
        <v>68</v>
      </c>
      <c r="D15" s="915"/>
      <c r="E15" s="2"/>
      <c r="F15" s="902"/>
      <c r="G15" s="905"/>
    </row>
    <row r="16" spans="2:7" ht="28.05" customHeight="1">
      <c r="B16" s="921"/>
      <c r="C16" s="914" t="s">
        <v>69</v>
      </c>
      <c r="D16" s="915"/>
      <c r="E16" s="2"/>
      <c r="F16" s="902"/>
      <c r="G16" s="905"/>
    </row>
    <row r="17" spans="2:9" ht="43.05" customHeight="1" thickBot="1">
      <c r="B17" s="922"/>
      <c r="C17" s="916" t="s">
        <v>70</v>
      </c>
      <c r="D17" s="917"/>
      <c r="E17" s="3"/>
      <c r="F17" s="903"/>
      <c r="G17" s="906"/>
    </row>
    <row r="18" spans="2:9" ht="28.05" customHeight="1">
      <c r="B18" s="909" t="s">
        <v>71</v>
      </c>
      <c r="C18" s="912" t="s">
        <v>72</v>
      </c>
      <c r="D18" s="913"/>
      <c r="E18" s="1"/>
      <c r="F18" s="901" t="str">
        <f t="shared" ref="F18" si="1">IF(COUNTBLANK(E18:E22)&gt;0,"",ROUND(AVERAGE(E18:E22),3))</f>
        <v/>
      </c>
      <c r="G18" s="904" t="str">
        <f>IFERROR(VLOOKUP(F18,core,2,1),"")</f>
        <v/>
      </c>
    </row>
    <row r="19" spans="2:9" ht="43.05" customHeight="1">
      <c r="B19" s="910"/>
      <c r="C19" s="914" t="s">
        <v>73</v>
      </c>
      <c r="D19" s="915"/>
      <c r="E19" s="2"/>
      <c r="F19" s="902"/>
      <c r="G19" s="905"/>
    </row>
    <row r="20" spans="2:9" ht="28.05" customHeight="1">
      <c r="B20" s="910"/>
      <c r="C20" s="914" t="s">
        <v>74</v>
      </c>
      <c r="D20" s="915"/>
      <c r="E20" s="2"/>
      <c r="F20" s="902"/>
      <c r="G20" s="905"/>
    </row>
    <row r="21" spans="2:9" ht="43.05" customHeight="1">
      <c r="B21" s="910"/>
      <c r="C21" s="914" t="s">
        <v>75</v>
      </c>
      <c r="D21" s="915"/>
      <c r="E21" s="2"/>
      <c r="F21" s="902"/>
      <c r="G21" s="905"/>
    </row>
    <row r="22" spans="2:9" ht="28.05" customHeight="1" thickBot="1">
      <c r="B22" s="911"/>
      <c r="C22" s="916" t="s">
        <v>76</v>
      </c>
      <c r="D22" s="917"/>
      <c r="E22" s="3"/>
      <c r="F22" s="903"/>
      <c r="G22" s="906"/>
    </row>
    <row r="23" spans="2:9" ht="15" thickBot="1"/>
    <row r="24" spans="2:9" ht="15" hidden="1" customHeight="1" thickBot="1">
      <c r="E24" s="325" t="e">
        <f>ROUND(((F18+F13+F8)/3),3)</f>
        <v>#VALUE!</v>
      </c>
    </row>
    <row r="25" spans="2:9" ht="18" thickBot="1">
      <c r="B25" s="326" t="s">
        <v>164</v>
      </c>
      <c r="C25" s="327"/>
      <c r="D25" s="327"/>
      <c r="E25" s="328" t="str">
        <f>IFERROR(E24,"")</f>
        <v/>
      </c>
      <c r="F25" s="907" t="str">
        <f>IFERROR(VLOOKUP(E25,core,2,1),"")</f>
        <v/>
      </c>
      <c r="G25" s="908"/>
      <c r="H25" s="329"/>
      <c r="I25" s="329"/>
    </row>
    <row r="28" spans="2:9">
      <c r="B28" s="899" t="str">
        <f>'Encoding Part 1'!C7</f>
        <v>EJONIE G. DEGOLLACION</v>
      </c>
      <c r="C28" s="899"/>
      <c r="D28" s="330" t="str">
        <f>'Encoding Part 1'!B33</f>
        <v>GLORIFEL B. SAREÑO</v>
      </c>
      <c r="E28" s="899" t="str">
        <f>'Encoding Part 1'!L33&amp;" "&amp;'Encoding Part 1'!Q33&amp;" "&amp;'Encoding Part 1'!G33</f>
        <v>NICKJON C. BABATU-ON</v>
      </c>
      <c r="F28" s="899"/>
      <c r="G28" s="899"/>
    </row>
    <row r="29" spans="2:9">
      <c r="B29" s="900" t="s">
        <v>1007</v>
      </c>
      <c r="C29" s="900"/>
      <c r="D29" s="331" t="s">
        <v>1045</v>
      </c>
      <c r="E29" s="900" t="s">
        <v>1046</v>
      </c>
      <c r="F29" s="900"/>
      <c r="G29" s="900"/>
    </row>
  </sheetData>
  <sheetProtection algorithmName="SHA-512" hashValue="eCv31dXnmjn4gEr2RPr6KGuSgocgQF+SLUbBSMfFXMwFcJkKQhHQiw3lmXgQD/N7e/LU8vAKPzIi9dfPyCWEWw==" saltValue="hnloFC5+0zzhsRru5z4Rvg==" spinCount="100000" sheet="1" objects="1" scenarios="1" formatRows="0"/>
  <mergeCells count="36">
    <mergeCell ref="B1:G1"/>
    <mergeCell ref="B2:G2"/>
    <mergeCell ref="B4:G4"/>
    <mergeCell ref="E5:G5"/>
    <mergeCell ref="F8:F12"/>
    <mergeCell ref="G8:G12"/>
    <mergeCell ref="C6:D7"/>
    <mergeCell ref="B5:D5"/>
    <mergeCell ref="B6:B7"/>
    <mergeCell ref="B29:C29"/>
    <mergeCell ref="C11:D11"/>
    <mergeCell ref="C12:D12"/>
    <mergeCell ref="B8:B12"/>
    <mergeCell ref="C22:D22"/>
    <mergeCell ref="C20:D20"/>
    <mergeCell ref="C21:D21"/>
    <mergeCell ref="B13:B17"/>
    <mergeCell ref="C8:D8"/>
    <mergeCell ref="C9:D9"/>
    <mergeCell ref="C10:D10"/>
    <mergeCell ref="E28:G28"/>
    <mergeCell ref="B28:C28"/>
    <mergeCell ref="E29:G29"/>
    <mergeCell ref="F13:F17"/>
    <mergeCell ref="G13:G17"/>
    <mergeCell ref="F25:G25"/>
    <mergeCell ref="B18:B22"/>
    <mergeCell ref="F18:F22"/>
    <mergeCell ref="G18:G22"/>
    <mergeCell ref="C13:D13"/>
    <mergeCell ref="C14:D14"/>
    <mergeCell ref="C15:D15"/>
    <mergeCell ref="C16:D16"/>
    <mergeCell ref="C17:D17"/>
    <mergeCell ref="C18:D18"/>
    <mergeCell ref="C19:D19"/>
  </mergeCells>
  <conditionalFormatting sqref="B25:G25">
    <cfRule type="expression" dxfId="27" priority="1">
      <formula>selected_career_stage="Distinguished"</formula>
    </cfRule>
    <cfRule type="expression" dxfId="26" priority="2">
      <formula>selected_career_stage="Highly Proficient"</formula>
    </cfRule>
    <cfRule type="expression" dxfId="25" priority="3">
      <formula>selected_career_stage="Proficient"</formula>
    </cfRule>
    <cfRule type="expression" dxfId="24" priority="4">
      <formula>selected_career_stage="Beginning towards Proficient"</formula>
    </cfRule>
  </conditionalFormatting>
  <dataValidations count="1">
    <dataValidation type="list" allowBlank="1" showInputMessage="1" showErrorMessage="1" sqref="E8:E22" xr:uid="{8D287FD7-4D87-4CE2-81A3-54210DC4B010}">
      <formula1>"5,4,3,2,1"</formula1>
    </dataValidation>
  </dataValidations>
  <printOptions horizontalCentered="1"/>
  <pageMargins left="0.70866141732283472" right="0.70866141732283472" top="0.74803149606299213" bottom="0.74803149606299213" header="0.31496062992125984" footer="0.31496062992125984"/>
  <pageSetup paperSize="9" scale="81" fitToWidth="0"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nextPage">
                <anchor moveWithCells="1" sizeWithCells="1">
                  <from>
                    <xdr:col>5</xdr:col>
                    <xdr:colOff>419100</xdr:colOff>
                    <xdr:row>31</xdr:row>
                    <xdr:rowOff>121920</xdr:rowOff>
                  </from>
                  <to>
                    <xdr:col>6</xdr:col>
                    <xdr:colOff>960120</xdr:colOff>
                    <xdr:row>34</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26C19-F2FA-4508-BCCB-57594E63EE7C}">
  <sheetPr codeName="PART3">
    <pageSetUpPr fitToPage="1"/>
  </sheetPr>
  <dimension ref="A1:J40"/>
  <sheetViews>
    <sheetView showGridLines="0" zoomScale="90" zoomScaleNormal="90" zoomScaleSheetLayoutView="100" workbookViewId="0">
      <selection activeCell="C4" sqref="C4:E4"/>
    </sheetView>
  </sheetViews>
  <sheetFormatPr defaultColWidth="9.6640625" defaultRowHeight="15.45" customHeight="1"/>
  <cols>
    <col min="1" max="1" width="3.109375" style="332" customWidth="1"/>
    <col min="2" max="2" width="22.33203125" style="332" customWidth="1"/>
    <col min="3" max="3" width="24.77734375" style="332" customWidth="1"/>
    <col min="4" max="4" width="14.6640625" style="332" customWidth="1"/>
    <col min="5" max="5" width="11.88671875" style="332" customWidth="1"/>
    <col min="6" max="6" width="11.88671875" style="332" bestFit="1" customWidth="1"/>
    <col min="7" max="7" width="9.6640625" style="332"/>
    <col min="8" max="9" width="13.6640625" style="332" customWidth="1"/>
    <col min="10" max="10" width="25.88671875" style="332" customWidth="1"/>
    <col min="11" max="16384" width="9.6640625" style="332"/>
  </cols>
  <sheetData>
    <row r="1" spans="1:10" ht="36" customHeight="1">
      <c r="A1" s="935" t="str">
        <f>HOME!A1</f>
        <v>OFFICIAL ELECTRONIC IPCRF TOOL
 SY 2025-2026</v>
      </c>
      <c r="B1" s="936"/>
      <c r="C1" s="936"/>
      <c r="D1" s="936"/>
      <c r="E1" s="936"/>
      <c r="F1" s="936"/>
      <c r="G1" s="936"/>
      <c r="H1" s="936"/>
      <c r="I1" s="936"/>
      <c r="J1" s="936"/>
    </row>
    <row r="2" spans="1:10" ht="19.05" customHeight="1">
      <c r="A2" s="937" t="str">
        <f>HOME!E17&amp;" Teacher"</f>
        <v>Beginning towards Proficient Teacher</v>
      </c>
      <c r="B2" s="937"/>
      <c r="C2" s="937"/>
      <c r="D2" s="937"/>
      <c r="E2" s="937"/>
      <c r="F2" s="937"/>
      <c r="G2" s="937"/>
      <c r="H2" s="937"/>
      <c r="I2" s="937"/>
      <c r="J2" s="937"/>
    </row>
    <row r="3" spans="1:10" ht="9" customHeight="1">
      <c r="B3" s="333"/>
      <c r="C3" s="333"/>
      <c r="D3" s="333"/>
      <c r="E3" s="333"/>
      <c r="F3" s="333"/>
      <c r="G3" s="333"/>
      <c r="H3" s="333"/>
      <c r="I3" s="333"/>
      <c r="J3" s="333"/>
    </row>
    <row r="4" spans="1:10" ht="18.45" customHeight="1">
      <c r="B4" s="334" t="s">
        <v>128</v>
      </c>
      <c r="C4" s="938" t="str">
        <f>'PART 1-BtP'!C2</f>
        <v>EJONIE G. DEGOLLACION</v>
      </c>
      <c r="D4" s="938"/>
      <c r="E4" s="939"/>
      <c r="F4" s="940" t="s">
        <v>129</v>
      </c>
      <c r="G4" s="941"/>
      <c r="H4" s="989" t="str">
        <f>'PART 1-BtP'!J2</f>
        <v>GLORIFEL B. SAREÑO</v>
      </c>
      <c r="I4" s="938"/>
      <c r="J4" s="939"/>
    </row>
    <row r="5" spans="1:10" ht="18.45" customHeight="1">
      <c r="B5" s="335" t="s">
        <v>0</v>
      </c>
      <c r="C5" s="985" t="str">
        <f>'PART 1-BtP'!C3</f>
        <v>Teacher III</v>
      </c>
      <c r="D5" s="985"/>
      <c r="E5" s="986"/>
      <c r="F5" s="958" t="s">
        <v>0</v>
      </c>
      <c r="G5" s="959"/>
      <c r="H5" s="990" t="str">
        <f>'PART 1-BtP'!J3</f>
        <v>Master Teacher I</v>
      </c>
      <c r="I5" s="985"/>
      <c r="J5" s="986"/>
    </row>
    <row r="6" spans="1:10" ht="18.45" customHeight="1">
      <c r="B6" s="336" t="s">
        <v>165</v>
      </c>
      <c r="C6" s="987" t="str">
        <f>'PART 1-BtP'!C4</f>
        <v xml:space="preserve">Lapu-Lapu City </v>
      </c>
      <c r="D6" s="987"/>
      <c r="E6" s="988"/>
      <c r="F6" s="958" t="s">
        <v>1</v>
      </c>
      <c r="G6" s="959"/>
      <c r="H6" s="991">
        <f>'PART 1-BtP'!J4</f>
        <v>46112</v>
      </c>
      <c r="I6" s="992"/>
      <c r="J6" s="993"/>
    </row>
    <row r="7" spans="1:10" ht="18.45" customHeight="1">
      <c r="B7" s="337" t="s">
        <v>130</v>
      </c>
      <c r="C7" s="947" t="str">
        <f>'PART 1-BtP'!C5</f>
        <v>SY 2025-2026</v>
      </c>
      <c r="D7" s="948"/>
      <c r="E7" s="949"/>
      <c r="F7" s="338"/>
      <c r="G7" s="339"/>
      <c r="H7" s="340"/>
      <c r="I7" s="341"/>
      <c r="J7" s="342"/>
    </row>
    <row r="8" spans="1:10" ht="15.45" customHeight="1">
      <c r="B8" s="343"/>
      <c r="C8" s="343"/>
      <c r="D8" s="343"/>
      <c r="E8" s="343"/>
      <c r="F8" s="343"/>
      <c r="G8" s="343"/>
      <c r="H8" s="343"/>
      <c r="I8" s="343"/>
      <c r="J8" s="343"/>
    </row>
    <row r="9" spans="1:10" s="344" customFormat="1" ht="15.45" customHeight="1">
      <c r="B9" s="950" t="s">
        <v>131</v>
      </c>
      <c r="C9" s="950"/>
      <c r="D9" s="950"/>
      <c r="E9" s="950"/>
      <c r="F9" s="950"/>
      <c r="G9" s="950"/>
      <c r="H9" s="950"/>
      <c r="I9" s="950"/>
      <c r="J9" s="950"/>
    </row>
    <row r="10" spans="1:10" ht="15.45" customHeight="1" thickBot="1">
      <c r="B10" s="345"/>
      <c r="C10" s="345"/>
      <c r="D10" s="345"/>
      <c r="E10" s="345"/>
      <c r="F10" s="345"/>
      <c r="G10" s="345"/>
      <c r="H10" s="345"/>
      <c r="I10" s="345"/>
      <c r="J10" s="345"/>
    </row>
    <row r="11" spans="1:10" ht="25.5" customHeight="1">
      <c r="B11" s="346" t="s">
        <v>162</v>
      </c>
      <c r="C11" s="347"/>
      <c r="D11" s="348"/>
      <c r="E11" s="348">
        <v>0.95</v>
      </c>
      <c r="F11" s="347"/>
      <c r="G11" s="347"/>
      <c r="H11" s="347"/>
      <c r="I11" s="347"/>
      <c r="J11" s="349"/>
    </row>
    <row r="12" spans="1:10" ht="25.5" customHeight="1">
      <c r="B12" s="951" t="s">
        <v>132</v>
      </c>
      <c r="C12" s="953" t="s">
        <v>1256</v>
      </c>
      <c r="D12" s="955" t="s">
        <v>133</v>
      </c>
      <c r="E12" s="957" t="s">
        <v>134</v>
      </c>
      <c r="F12" s="957"/>
      <c r="G12" s="957"/>
      <c r="H12" s="957"/>
      <c r="I12" s="983" t="s">
        <v>135</v>
      </c>
      <c r="J12" s="945" t="s">
        <v>136</v>
      </c>
    </row>
    <row r="13" spans="1:10" ht="25.5" customHeight="1" thickBot="1">
      <c r="B13" s="952"/>
      <c r="C13" s="954"/>
      <c r="D13" s="956"/>
      <c r="E13" s="350" t="s">
        <v>137</v>
      </c>
      <c r="F13" s="350" t="s">
        <v>138</v>
      </c>
      <c r="G13" s="350" t="s">
        <v>139</v>
      </c>
      <c r="H13" s="350" t="s">
        <v>140</v>
      </c>
      <c r="I13" s="984"/>
      <c r="J13" s="946"/>
    </row>
    <row r="14" spans="1:10" ht="25.5" customHeight="1">
      <c r="B14" s="944" t="s">
        <v>145</v>
      </c>
      <c r="C14" s="352" t="s">
        <v>142</v>
      </c>
      <c r="D14" s="353">
        <v>6.7857142859999997E-2</v>
      </c>
      <c r="E14" s="354">
        <f ca="1">'Encoding Part 1'!I14</f>
        <v>5</v>
      </c>
      <c r="F14" s="355">
        <f>'Encoding Part 1'!K14</f>
        <v>0</v>
      </c>
      <c r="G14" s="356">
        <f>'Encoding Part 1'!L14</f>
        <v>0</v>
      </c>
      <c r="H14" s="357">
        <f ca="1">'Encoding Part 1'!M14</f>
        <v>5</v>
      </c>
      <c r="I14" s="357">
        <f ca="1">'Encoding Part 1'!N14</f>
        <v>0.33928999999999998</v>
      </c>
      <c r="J14" s="358" t="str">
        <f ca="1">'Encoding Part 1'!O14</f>
        <v>Outstanding</v>
      </c>
    </row>
    <row r="15" spans="1:10" ht="25.5" customHeight="1">
      <c r="B15" s="944"/>
      <c r="C15" s="359" t="s">
        <v>143</v>
      </c>
      <c r="D15" s="360">
        <v>6.7857142859999997E-2</v>
      </c>
      <c r="E15" s="361">
        <f ca="1">'Encoding Part 1'!I15</f>
        <v>5</v>
      </c>
      <c r="F15" s="362">
        <f>'Encoding Part 1'!K15</f>
        <v>0</v>
      </c>
      <c r="G15" s="362">
        <f>'Encoding Part 1'!L15</f>
        <v>0</v>
      </c>
      <c r="H15" s="363">
        <f ca="1">'Encoding Part 1'!M15</f>
        <v>5</v>
      </c>
      <c r="I15" s="363">
        <f ca="1">'Encoding Part 1'!N15</f>
        <v>0.33928999999999998</v>
      </c>
      <c r="J15" s="364" t="str">
        <f ca="1">'Encoding Part 1'!O15</f>
        <v>Outstanding</v>
      </c>
    </row>
    <row r="16" spans="1:10" ht="25.5" customHeight="1">
      <c r="B16" s="944"/>
      <c r="C16" s="359" t="s">
        <v>144</v>
      </c>
      <c r="D16" s="360">
        <v>6.7857142859999997E-2</v>
      </c>
      <c r="E16" s="361">
        <f ca="1">'Encoding Part 1'!I16</f>
        <v>5</v>
      </c>
      <c r="F16" s="362">
        <f>'Encoding Part 1'!K16</f>
        <v>0</v>
      </c>
      <c r="G16" s="362">
        <f>'Encoding Part 1'!L16</f>
        <v>0</v>
      </c>
      <c r="H16" s="363">
        <f ca="1">'Encoding Part 1'!M16</f>
        <v>5</v>
      </c>
      <c r="I16" s="363">
        <f ca="1">'Encoding Part 1'!N16</f>
        <v>0.33928999999999998</v>
      </c>
      <c r="J16" s="364" t="str">
        <f ca="1">'Encoding Part 1'!O16</f>
        <v>Outstanding</v>
      </c>
    </row>
    <row r="17" spans="2:10" ht="25.5" customHeight="1">
      <c r="B17" s="944" t="s">
        <v>146</v>
      </c>
      <c r="C17" s="359" t="s">
        <v>151</v>
      </c>
      <c r="D17" s="360">
        <v>6.7857142859999997E-2</v>
      </c>
      <c r="E17" s="361">
        <f ca="1">'Encoding Part 1'!I17</f>
        <v>5</v>
      </c>
      <c r="F17" s="362">
        <f>'Encoding Part 1'!K17</f>
        <v>0</v>
      </c>
      <c r="G17" s="362">
        <f>'Encoding Part 1'!L17</f>
        <v>0</v>
      </c>
      <c r="H17" s="363">
        <f ca="1">'Encoding Part 1'!M17</f>
        <v>5</v>
      </c>
      <c r="I17" s="363">
        <f ca="1">'Encoding Part 1'!N17</f>
        <v>0.33928999999999998</v>
      </c>
      <c r="J17" s="364" t="str">
        <f ca="1">'Encoding Part 1'!O17</f>
        <v>Outstanding</v>
      </c>
    </row>
    <row r="18" spans="2:10" ht="25.5" customHeight="1">
      <c r="B18" s="944"/>
      <c r="C18" s="359" t="s">
        <v>152</v>
      </c>
      <c r="D18" s="360">
        <v>6.7857142859999997E-2</v>
      </c>
      <c r="E18" s="361">
        <f ca="1">'Encoding Part 1'!I18</f>
        <v>5</v>
      </c>
      <c r="F18" s="362">
        <f>'Encoding Part 1'!K18</f>
        <v>0</v>
      </c>
      <c r="G18" s="362">
        <f>'Encoding Part 1'!L18</f>
        <v>0</v>
      </c>
      <c r="H18" s="363">
        <f ca="1">'Encoding Part 1'!M18</f>
        <v>5</v>
      </c>
      <c r="I18" s="363">
        <f ca="1">'Encoding Part 1'!N18</f>
        <v>0.33928999999999998</v>
      </c>
      <c r="J18" s="364" t="str">
        <f ca="1">'Encoding Part 1'!O18</f>
        <v>Outstanding</v>
      </c>
    </row>
    <row r="19" spans="2:10" ht="25.5" customHeight="1">
      <c r="B19" s="351" t="s">
        <v>147</v>
      </c>
      <c r="C19" s="359" t="s">
        <v>153</v>
      </c>
      <c r="D19" s="360">
        <v>6.7857142859999997E-2</v>
      </c>
      <c r="E19" s="361">
        <f ca="1">'Encoding Part 1'!I19</f>
        <v>4</v>
      </c>
      <c r="F19" s="362">
        <f>'Encoding Part 1'!K19</f>
        <v>0</v>
      </c>
      <c r="G19" s="362">
        <f>'Encoding Part 1'!L19</f>
        <v>0</v>
      </c>
      <c r="H19" s="363">
        <f ca="1">'Encoding Part 1'!M19</f>
        <v>4</v>
      </c>
      <c r="I19" s="363">
        <f ca="1">'Encoding Part 1'!N19</f>
        <v>0.27143</v>
      </c>
      <c r="J19" s="364" t="str">
        <f ca="1">'Encoding Part 1'!O19</f>
        <v>Very Satisfactory</v>
      </c>
    </row>
    <row r="20" spans="2:10" ht="25.5" customHeight="1">
      <c r="B20" s="944" t="s">
        <v>148</v>
      </c>
      <c r="C20" s="359" t="s">
        <v>154</v>
      </c>
      <c r="D20" s="360">
        <v>6.7857142859999997E-2</v>
      </c>
      <c r="E20" s="361">
        <f ca="1">'Encoding Part 1'!I20</f>
        <v>5</v>
      </c>
      <c r="F20" s="362">
        <f>'Encoding Part 1'!K20</f>
        <v>0</v>
      </c>
      <c r="G20" s="362">
        <f>'Encoding Part 1'!L20</f>
        <v>0</v>
      </c>
      <c r="H20" s="363">
        <f ca="1">'Encoding Part 1'!M20</f>
        <v>5</v>
      </c>
      <c r="I20" s="363">
        <f ca="1">'Encoding Part 1'!N20</f>
        <v>0.33928999999999998</v>
      </c>
      <c r="J20" s="364" t="str">
        <f ca="1">'Encoding Part 1'!O20</f>
        <v>Outstanding</v>
      </c>
    </row>
    <row r="21" spans="2:10" ht="25.5" customHeight="1">
      <c r="B21" s="944"/>
      <c r="C21" s="359" t="s">
        <v>155</v>
      </c>
      <c r="D21" s="360">
        <v>6.7857142859999997E-2</v>
      </c>
      <c r="E21" s="361">
        <f>'Encoding Part 1'!I21</f>
        <v>5</v>
      </c>
      <c r="F21" s="362">
        <f>'Encoding Part 1'!K21</f>
        <v>0</v>
      </c>
      <c r="G21" s="361">
        <f>'Encoding Part 1'!L21</f>
        <v>4</v>
      </c>
      <c r="H21" s="363">
        <f>'Encoding Part 1'!M21</f>
        <v>4.5</v>
      </c>
      <c r="I21" s="363">
        <f>'Encoding Part 1'!N21</f>
        <v>0.30536000000000002</v>
      </c>
      <c r="J21" s="364" t="str">
        <f>'Encoding Part 1'!O21</f>
        <v>Outstanding</v>
      </c>
    </row>
    <row r="22" spans="2:10" ht="25.5" customHeight="1">
      <c r="B22" s="944"/>
      <c r="C22" s="359" t="s">
        <v>156</v>
      </c>
      <c r="D22" s="360">
        <v>6.7857142859999997E-2</v>
      </c>
      <c r="E22" s="361">
        <f ca="1">'Encoding Part 1'!I22</f>
        <v>5</v>
      </c>
      <c r="F22" s="362">
        <f>'Encoding Part 1'!K22</f>
        <v>0</v>
      </c>
      <c r="G22" s="362">
        <f>'Encoding Part 1'!L22</f>
        <v>0</v>
      </c>
      <c r="H22" s="363">
        <f ca="1">'Encoding Part 1'!M22</f>
        <v>5</v>
      </c>
      <c r="I22" s="363">
        <f ca="1">'Encoding Part 1'!N22</f>
        <v>0.33928999999999998</v>
      </c>
      <c r="J22" s="364" t="str">
        <f ca="1">'Encoding Part 1'!O22</f>
        <v>Outstanding</v>
      </c>
    </row>
    <row r="23" spans="2:10" ht="25.5" customHeight="1">
      <c r="B23" s="944" t="s">
        <v>149</v>
      </c>
      <c r="C23" s="359" t="s">
        <v>157</v>
      </c>
      <c r="D23" s="360">
        <v>6.7857142859999997E-2</v>
      </c>
      <c r="E23" s="361">
        <f ca="1">'Encoding Part 1'!I23</f>
        <v>4</v>
      </c>
      <c r="F23" s="362">
        <f>'Encoding Part 1'!K23</f>
        <v>0</v>
      </c>
      <c r="G23" s="362">
        <f>'Encoding Part 1'!L23</f>
        <v>0</v>
      </c>
      <c r="H23" s="363">
        <f ca="1">'Encoding Part 1'!M23</f>
        <v>4</v>
      </c>
      <c r="I23" s="363">
        <f ca="1">'Encoding Part 1'!N23</f>
        <v>0.27143</v>
      </c>
      <c r="J23" s="364" t="str">
        <f ca="1">'Encoding Part 1'!O23</f>
        <v>Very Satisfactory</v>
      </c>
    </row>
    <row r="24" spans="2:10" ht="25.5" customHeight="1">
      <c r="B24" s="944"/>
      <c r="C24" s="359" t="s">
        <v>158</v>
      </c>
      <c r="D24" s="360">
        <v>6.7857142859999997E-2</v>
      </c>
      <c r="E24" s="361">
        <f>'Encoding Part 1'!I24</f>
        <v>4</v>
      </c>
      <c r="F24" s="362">
        <f>'Encoding Part 1'!K24</f>
        <v>0</v>
      </c>
      <c r="G24" s="362">
        <f>'Encoding Part 1'!L24</f>
        <v>0</v>
      </c>
      <c r="H24" s="363">
        <f>'Encoding Part 1'!M24</f>
        <v>4</v>
      </c>
      <c r="I24" s="363">
        <f>'Encoding Part 1'!N24</f>
        <v>0.27143</v>
      </c>
      <c r="J24" s="364" t="str">
        <f>'Encoding Part 1'!O24</f>
        <v>Very Satisfactory</v>
      </c>
    </row>
    <row r="25" spans="2:10" ht="25.5" customHeight="1">
      <c r="B25" s="944"/>
      <c r="C25" s="359" t="s">
        <v>159</v>
      </c>
      <c r="D25" s="360">
        <v>6.7857142859999997E-2</v>
      </c>
      <c r="E25" s="361">
        <f>'Encoding Part 1'!I25</f>
        <v>5</v>
      </c>
      <c r="F25" s="361">
        <f>'Encoding Part 1'!K25</f>
        <v>4</v>
      </c>
      <c r="G25" s="361">
        <f>'Encoding Part 1'!L25</f>
        <v>4</v>
      </c>
      <c r="H25" s="363">
        <f>'Encoding Part 1'!M25</f>
        <v>4.3333000000000004</v>
      </c>
      <c r="I25" s="363">
        <f>'Encoding Part 1'!N25</f>
        <v>0.29404999999999998</v>
      </c>
      <c r="J25" s="364" t="str">
        <f>'Encoding Part 1'!O25</f>
        <v>Very Satisfactory</v>
      </c>
    </row>
    <row r="26" spans="2:10" ht="25.5" customHeight="1">
      <c r="B26" s="944" t="s">
        <v>150</v>
      </c>
      <c r="C26" s="359" t="s">
        <v>160</v>
      </c>
      <c r="D26" s="360">
        <v>6.7857142859999997E-2</v>
      </c>
      <c r="E26" s="361">
        <f>'Encoding Part 1'!I26</f>
        <v>4</v>
      </c>
      <c r="F26" s="362">
        <f>'Encoding Part 1'!K26</f>
        <v>0</v>
      </c>
      <c r="G26" s="362">
        <f>'Encoding Part 1'!L26</f>
        <v>0</v>
      </c>
      <c r="H26" s="363">
        <f>'Encoding Part 1'!M26</f>
        <v>4</v>
      </c>
      <c r="I26" s="363">
        <f>'Encoding Part 1'!N26</f>
        <v>0.27143</v>
      </c>
      <c r="J26" s="364" t="str">
        <f>'Encoding Part 1'!O26</f>
        <v>Very Satisfactory</v>
      </c>
    </row>
    <row r="27" spans="2:10" ht="25.5" customHeight="1" thickBot="1">
      <c r="B27" s="981"/>
      <c r="C27" s="365" t="s">
        <v>161</v>
      </c>
      <c r="D27" s="366">
        <v>6.7857142859999997E-2</v>
      </c>
      <c r="E27" s="367">
        <f>'Encoding Part 1'!I27</f>
        <v>5</v>
      </c>
      <c r="F27" s="367">
        <f>'Encoding Part 1'!K27</f>
        <v>4</v>
      </c>
      <c r="G27" s="367">
        <f>'Encoding Part 1'!L27</f>
        <v>4</v>
      </c>
      <c r="H27" s="368">
        <f>'Encoding Part 1'!M27</f>
        <v>4.3333000000000004</v>
      </c>
      <c r="I27" s="368">
        <f>'Encoding Part 1'!N27</f>
        <v>0.29404999999999998</v>
      </c>
      <c r="J27" s="369" t="str">
        <f>'Encoding Part 1'!O27</f>
        <v>Very Satisfactory</v>
      </c>
    </row>
    <row r="28" spans="2:10" ht="25.5" customHeight="1" thickBot="1">
      <c r="B28" s="370" t="s">
        <v>162</v>
      </c>
      <c r="C28" s="371"/>
      <c r="D28" s="372"/>
      <c r="E28" s="372">
        <v>0.95</v>
      </c>
      <c r="F28" s="371"/>
      <c r="G28" s="982">
        <f ca="1">ROUND((AVERAGE(H14:H27)),3)</f>
        <v>4.5830000000000002</v>
      </c>
      <c r="H28" s="964"/>
      <c r="I28" s="942">
        <f ca="1">ROUND(SUM(I14:I27),4)</f>
        <v>4.3541999999999996</v>
      </c>
      <c r="J28" s="943"/>
    </row>
    <row r="29" spans="2:10" ht="25.5" customHeight="1" thickBot="1">
      <c r="B29" s="373" t="s">
        <v>163</v>
      </c>
      <c r="C29" s="374"/>
      <c r="D29" s="375"/>
      <c r="E29" s="375">
        <v>0.05</v>
      </c>
      <c r="F29" s="374"/>
      <c r="G29" s="963">
        <f>'Part 2-A'!N60</f>
        <v>4.4290000000000003</v>
      </c>
      <c r="H29" s="964"/>
      <c r="I29" s="965">
        <f>G29*0.05</f>
        <v>0.22145000000000004</v>
      </c>
      <c r="J29" s="966"/>
    </row>
    <row r="30" spans="2:10" ht="25.95" customHeight="1">
      <c r="B30" s="970" t="s">
        <v>1318</v>
      </c>
      <c r="C30" s="971"/>
      <c r="D30" s="971"/>
      <c r="E30" s="971"/>
      <c r="F30" s="974" t="s">
        <v>1025</v>
      </c>
      <c r="G30" s="975"/>
      <c r="H30" s="976"/>
      <c r="I30" s="977">
        <f ca="1">I28+I29</f>
        <v>4.5756499999999996</v>
      </c>
      <c r="J30" s="978"/>
    </row>
    <row r="31" spans="2:10" ht="25.95" customHeight="1" thickBot="1">
      <c r="B31" s="972"/>
      <c r="C31" s="973"/>
      <c r="D31" s="973"/>
      <c r="E31" s="973"/>
      <c r="F31" s="967" t="s">
        <v>1498</v>
      </c>
      <c r="G31" s="968"/>
      <c r="H31" s="969"/>
      <c r="I31" s="979" t="str">
        <f ca="1">VLOOKUP(I30,adjectivalrating,2)</f>
        <v>Outstanding</v>
      </c>
      <c r="J31" s="980"/>
    </row>
    <row r="33" spans="1:10" ht="15.45" hidden="1" customHeight="1"/>
    <row r="35" spans="1:10" ht="18" customHeight="1">
      <c r="A35" s="376" t="s">
        <v>8</v>
      </c>
      <c r="B35" s="377"/>
      <c r="C35" s="377"/>
      <c r="D35" s="376" t="s">
        <v>9</v>
      </c>
      <c r="E35" s="376"/>
      <c r="F35" s="377"/>
      <c r="G35" s="377"/>
      <c r="H35" s="376" t="s">
        <v>10</v>
      </c>
      <c r="I35" s="378"/>
      <c r="J35" s="378"/>
    </row>
    <row r="36" spans="1:10" ht="18" customHeight="1">
      <c r="A36" s="376"/>
      <c r="B36" s="377"/>
      <c r="C36" s="377"/>
      <c r="D36" s="376"/>
      <c r="E36" s="376"/>
      <c r="F36" s="377"/>
      <c r="G36" s="377"/>
      <c r="H36" s="376"/>
      <c r="I36" s="378"/>
      <c r="J36" s="378"/>
    </row>
    <row r="37" spans="1:10" ht="18" customHeight="1">
      <c r="A37" s="960" t="str">
        <f>C4</f>
        <v>EJONIE G. DEGOLLACION</v>
      </c>
      <c r="B37" s="960"/>
      <c r="C37" s="960"/>
      <c r="D37" s="960" t="str">
        <f>H4</f>
        <v>GLORIFEL B. SAREÑO</v>
      </c>
      <c r="E37" s="960"/>
      <c r="F37" s="960"/>
      <c r="G37" s="960"/>
      <c r="H37" s="962" t="str">
        <f>'Encoding Part 1'!L33&amp;" "&amp;'Encoding Part 1'!Q33&amp;" "&amp;'Encoding Part 1'!G33</f>
        <v>NICKJON C. BABATU-ON</v>
      </c>
      <c r="I37" s="962"/>
      <c r="J37" s="962"/>
    </row>
    <row r="38" spans="1:10" ht="16.95" customHeight="1">
      <c r="A38" s="960" t="str">
        <f>C5</f>
        <v>Teacher III</v>
      </c>
      <c r="B38" s="960"/>
      <c r="C38" s="960"/>
      <c r="D38" s="960" t="str">
        <f>H5</f>
        <v>Master Teacher I</v>
      </c>
      <c r="E38" s="960"/>
      <c r="F38" s="960"/>
      <c r="G38" s="960"/>
      <c r="H38" s="960" t="str">
        <f>'Encoding Part 1'!G34</f>
        <v>Assistant School Principal II</v>
      </c>
      <c r="I38" s="960"/>
      <c r="J38" s="960"/>
    </row>
    <row r="39" spans="1:10" ht="16.95" customHeight="1">
      <c r="A39" s="961">
        <f>H6</f>
        <v>46112</v>
      </c>
      <c r="B39" s="960"/>
      <c r="C39" s="960"/>
      <c r="D39" s="961">
        <f>H6</f>
        <v>46112</v>
      </c>
      <c r="E39" s="960"/>
      <c r="F39" s="960"/>
      <c r="G39" s="960"/>
      <c r="H39" s="961">
        <f>H6</f>
        <v>46112</v>
      </c>
      <c r="I39" s="960"/>
      <c r="J39" s="960"/>
    </row>
    <row r="40" spans="1:10" ht="15.45" customHeight="1">
      <c r="A40" s="377"/>
      <c r="B40" s="377"/>
      <c r="C40" s="377"/>
      <c r="D40" s="377"/>
      <c r="E40" s="377"/>
      <c r="F40" s="377"/>
      <c r="G40" s="377"/>
      <c r="H40" s="377"/>
      <c r="I40" s="377"/>
      <c r="J40" s="377"/>
    </row>
  </sheetData>
  <sheetProtection algorithmName="SHA-512" hashValue="bdhueZmhwiYpGt99yYa9bKq/mAH/N7seTe1RlMSBV/9lYoXLG7KKoGjI/zDmjZoeolkMEUVA48gARiJnENpk9g==" saltValue="TxOgqagjJXZQVH2DiYUYOA==" spinCount="100000" sheet="1" objects="1" scenarios="1"/>
  <mergeCells count="42">
    <mergeCell ref="I12:I13"/>
    <mergeCell ref="C5:E5"/>
    <mergeCell ref="F5:G5"/>
    <mergeCell ref="C6:E6"/>
    <mergeCell ref="H4:J4"/>
    <mergeCell ref="H5:J5"/>
    <mergeCell ref="H6:J6"/>
    <mergeCell ref="B20:B22"/>
    <mergeCell ref="I30:J30"/>
    <mergeCell ref="I31:J31"/>
    <mergeCell ref="B26:B27"/>
    <mergeCell ref="G28:H28"/>
    <mergeCell ref="H37:J37"/>
    <mergeCell ref="D37:G37"/>
    <mergeCell ref="A37:C37"/>
    <mergeCell ref="G29:H29"/>
    <mergeCell ref="I29:J29"/>
    <mergeCell ref="F31:H31"/>
    <mergeCell ref="B30:E31"/>
    <mergeCell ref="F30:H30"/>
    <mergeCell ref="A38:C38"/>
    <mergeCell ref="A39:C39"/>
    <mergeCell ref="D38:G38"/>
    <mergeCell ref="D39:G39"/>
    <mergeCell ref="H38:J38"/>
    <mergeCell ref="H39:J39"/>
    <mergeCell ref="A1:J1"/>
    <mergeCell ref="A2:J2"/>
    <mergeCell ref="C4:E4"/>
    <mergeCell ref="F4:G4"/>
    <mergeCell ref="I28:J28"/>
    <mergeCell ref="B14:B16"/>
    <mergeCell ref="J12:J13"/>
    <mergeCell ref="C7:E7"/>
    <mergeCell ref="B9:J9"/>
    <mergeCell ref="B12:B13"/>
    <mergeCell ref="C12:C13"/>
    <mergeCell ref="D12:D13"/>
    <mergeCell ref="E12:H12"/>
    <mergeCell ref="B23:B25"/>
    <mergeCell ref="F6:G6"/>
    <mergeCell ref="B17:B18"/>
  </mergeCells>
  <conditionalFormatting sqref="B30 I30:J31 F30:F31">
    <cfRule type="expression" dxfId="23" priority="7">
      <formula>career_stage="P"</formula>
    </cfRule>
    <cfRule type="expression" dxfId="22" priority="8">
      <formula>career_stage="HP"</formula>
    </cfRule>
  </conditionalFormatting>
  <conditionalFormatting sqref="B14 B17 B19:B20 B23 B26">
    <cfRule type="expression" dxfId="21" priority="6">
      <formula>#REF!</formula>
    </cfRule>
  </conditionalFormatting>
  <printOptions horizontalCentered="1"/>
  <pageMargins left="0.5" right="0.5" top="0.7" bottom="0.5" header="0" footer="0.3"/>
  <pageSetup paperSize="9" scale="68" fitToHeight="0" orientation="portrait" r:id="rId1"/>
  <headerFooter>
    <oddHeader>&amp;C&amp;"Calibri,Regular"&amp;K000000&amp;G</oddHeader>
    <oddFooter>Page &amp;P of &amp;N</oddFoot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EE9B9-4CDC-4B6F-873B-3A4EDC2197E5}">
  <sheetPr codeName="PART6">
    <pageSetUpPr fitToPage="1"/>
  </sheetPr>
  <dimension ref="A1:J40"/>
  <sheetViews>
    <sheetView showGridLines="0" zoomScale="90" zoomScaleNormal="90" zoomScaleSheetLayoutView="100" workbookViewId="0">
      <selection activeCell="C4" sqref="C4:E4"/>
    </sheetView>
  </sheetViews>
  <sheetFormatPr defaultColWidth="9.6640625" defaultRowHeight="15.45" customHeight="1"/>
  <cols>
    <col min="1" max="1" width="3.109375" style="332" customWidth="1"/>
    <col min="2" max="2" width="22.33203125" style="332" customWidth="1"/>
    <col min="3" max="3" width="24.77734375" style="332" customWidth="1"/>
    <col min="4" max="4" width="14.6640625" style="332" customWidth="1"/>
    <col min="5" max="5" width="11.88671875" style="332" customWidth="1"/>
    <col min="6" max="6" width="11.88671875" style="332" bestFit="1" customWidth="1"/>
    <col min="7" max="7" width="9.6640625" style="332"/>
    <col min="8" max="9" width="13.6640625" style="332" customWidth="1"/>
    <col min="10" max="10" width="25.88671875" style="332" customWidth="1"/>
    <col min="11" max="16384" width="9.6640625" style="332"/>
  </cols>
  <sheetData>
    <row r="1" spans="1:10" ht="36" customHeight="1">
      <c r="A1" s="935" t="str">
        <f>HOME!A1</f>
        <v>OFFICIAL ELECTRONIC IPCRF TOOL
 SY 2025-2026</v>
      </c>
      <c r="B1" s="936"/>
      <c r="C1" s="936"/>
      <c r="D1" s="936"/>
      <c r="E1" s="936"/>
      <c r="F1" s="936"/>
      <c r="G1" s="936"/>
      <c r="H1" s="936"/>
      <c r="I1" s="936"/>
      <c r="J1" s="936"/>
    </row>
    <row r="2" spans="1:10" ht="19.05" customHeight="1">
      <c r="A2" s="937" t="str">
        <f>HOME!E17&amp;" Teacher"</f>
        <v>Beginning towards Proficient Teacher</v>
      </c>
      <c r="B2" s="937"/>
      <c r="C2" s="937"/>
      <c r="D2" s="937"/>
      <c r="E2" s="937"/>
      <c r="F2" s="937"/>
      <c r="G2" s="937"/>
      <c r="H2" s="937"/>
      <c r="I2" s="937"/>
      <c r="J2" s="937"/>
    </row>
    <row r="3" spans="1:10" ht="9" customHeight="1">
      <c r="B3" s="333"/>
      <c r="C3" s="333"/>
      <c r="D3" s="333"/>
      <c r="E3" s="333"/>
      <c r="F3" s="333"/>
      <c r="G3" s="333"/>
      <c r="H3" s="333"/>
      <c r="I3" s="333"/>
      <c r="J3" s="333"/>
    </row>
    <row r="4" spans="1:10" ht="18.45" customHeight="1">
      <c r="B4" s="334" t="s">
        <v>128</v>
      </c>
      <c r="C4" s="938" t="str">
        <f>'PART 1-P'!C2</f>
        <v>EJONIE G. DEGOLLACION</v>
      </c>
      <c r="D4" s="938"/>
      <c r="E4" s="939"/>
      <c r="F4" s="940" t="s">
        <v>129</v>
      </c>
      <c r="G4" s="941"/>
      <c r="H4" s="989" t="str">
        <f>'PART 1-P'!J2</f>
        <v>GLORIFEL B. SAREÑO</v>
      </c>
      <c r="I4" s="938"/>
      <c r="J4" s="939"/>
    </row>
    <row r="5" spans="1:10" ht="18.45" customHeight="1">
      <c r="B5" s="335" t="s">
        <v>0</v>
      </c>
      <c r="C5" s="985" t="str">
        <f>'PART 1-P'!C3</f>
        <v>Teacher III</v>
      </c>
      <c r="D5" s="985"/>
      <c r="E5" s="986"/>
      <c r="F5" s="958" t="s">
        <v>0</v>
      </c>
      <c r="G5" s="959"/>
      <c r="H5" s="990" t="str">
        <f>'PART 1-P'!J3</f>
        <v>Master Teacher I</v>
      </c>
      <c r="I5" s="985"/>
      <c r="J5" s="986"/>
    </row>
    <row r="6" spans="1:10" ht="18.45" customHeight="1">
      <c r="B6" s="336" t="s">
        <v>165</v>
      </c>
      <c r="C6" s="987" t="str">
        <f>'PART 1-P'!C4</f>
        <v xml:space="preserve">Lapu-Lapu City </v>
      </c>
      <c r="D6" s="987"/>
      <c r="E6" s="988"/>
      <c r="F6" s="958" t="s">
        <v>1</v>
      </c>
      <c r="G6" s="959"/>
      <c r="H6" s="991">
        <f>'PART 1-P'!J4</f>
        <v>46112</v>
      </c>
      <c r="I6" s="992"/>
      <c r="J6" s="993"/>
    </row>
    <row r="7" spans="1:10" ht="18.45" customHeight="1">
      <c r="B7" s="337" t="s">
        <v>130</v>
      </c>
      <c r="C7" s="947" t="str">
        <f>'PART 1-P'!C5</f>
        <v>SY 2025-2026</v>
      </c>
      <c r="D7" s="948"/>
      <c r="E7" s="949"/>
      <c r="F7" s="338"/>
      <c r="G7" s="339"/>
      <c r="H7" s="340"/>
      <c r="I7" s="341"/>
      <c r="J7" s="342"/>
    </row>
    <row r="8" spans="1:10" ht="15.45" customHeight="1">
      <c r="B8" s="343"/>
      <c r="C8" s="343"/>
      <c r="D8" s="343"/>
      <c r="E8" s="343"/>
      <c r="F8" s="343"/>
      <c r="G8" s="343"/>
      <c r="H8" s="343"/>
      <c r="I8" s="343"/>
      <c r="J8" s="343"/>
    </row>
    <row r="9" spans="1:10" s="344" customFormat="1" ht="15.45" customHeight="1">
      <c r="B9" s="950" t="s">
        <v>131</v>
      </c>
      <c r="C9" s="950"/>
      <c r="D9" s="950"/>
      <c r="E9" s="950"/>
      <c r="F9" s="950"/>
      <c r="G9" s="950"/>
      <c r="H9" s="950"/>
      <c r="I9" s="950"/>
      <c r="J9" s="950"/>
    </row>
    <row r="10" spans="1:10" ht="15.45" customHeight="1" thickBot="1">
      <c r="B10" s="345"/>
      <c r="C10" s="345"/>
      <c r="D10" s="345"/>
      <c r="E10" s="345"/>
      <c r="F10" s="345"/>
      <c r="G10" s="345"/>
      <c r="H10" s="345"/>
      <c r="I10" s="345"/>
      <c r="J10" s="345"/>
    </row>
    <row r="11" spans="1:10" ht="25.5" customHeight="1">
      <c r="B11" s="346" t="s">
        <v>162</v>
      </c>
      <c r="C11" s="347"/>
      <c r="D11" s="348"/>
      <c r="E11" s="348">
        <v>0.95</v>
      </c>
      <c r="F11" s="347"/>
      <c r="G11" s="347"/>
      <c r="H11" s="347"/>
      <c r="I11" s="347"/>
      <c r="J11" s="349"/>
    </row>
    <row r="12" spans="1:10" ht="25.5" customHeight="1">
      <c r="B12" s="951" t="s">
        <v>132</v>
      </c>
      <c r="C12" s="953" t="s">
        <v>1256</v>
      </c>
      <c r="D12" s="955" t="s">
        <v>133</v>
      </c>
      <c r="E12" s="957" t="s">
        <v>134</v>
      </c>
      <c r="F12" s="957"/>
      <c r="G12" s="957"/>
      <c r="H12" s="957"/>
      <c r="I12" s="983" t="s">
        <v>135</v>
      </c>
      <c r="J12" s="945" t="s">
        <v>136</v>
      </c>
    </row>
    <row r="13" spans="1:10" ht="25.5" customHeight="1" thickBot="1">
      <c r="B13" s="952"/>
      <c r="C13" s="954"/>
      <c r="D13" s="956"/>
      <c r="E13" s="350" t="s">
        <v>137</v>
      </c>
      <c r="F13" s="350" t="s">
        <v>138</v>
      </c>
      <c r="G13" s="350" t="s">
        <v>139</v>
      </c>
      <c r="H13" s="350" t="s">
        <v>140</v>
      </c>
      <c r="I13" s="984"/>
      <c r="J13" s="946"/>
    </row>
    <row r="14" spans="1:10" ht="25.5" customHeight="1">
      <c r="B14" s="944" t="s">
        <v>145</v>
      </c>
      <c r="C14" s="352" t="s">
        <v>142</v>
      </c>
      <c r="D14" s="353">
        <v>6.7857142859999997E-2</v>
      </c>
      <c r="E14" s="354">
        <f ca="1">'Encoding Part 1'!I14</f>
        <v>5</v>
      </c>
      <c r="F14" s="355">
        <f>'Encoding Part 1'!K14</f>
        <v>0</v>
      </c>
      <c r="G14" s="356">
        <f>'Encoding Part 1'!L14</f>
        <v>0</v>
      </c>
      <c r="H14" s="357">
        <f ca="1">'Encoding Part 1'!M14</f>
        <v>5</v>
      </c>
      <c r="I14" s="357">
        <f ca="1">'Encoding Part 1'!N14</f>
        <v>0.33928999999999998</v>
      </c>
      <c r="J14" s="358" t="str">
        <f ca="1">'Encoding Part 1'!O14</f>
        <v>Outstanding</v>
      </c>
    </row>
    <row r="15" spans="1:10" ht="25.5" customHeight="1">
      <c r="B15" s="944"/>
      <c r="C15" s="359" t="s">
        <v>143</v>
      </c>
      <c r="D15" s="360">
        <v>6.7857142859999997E-2</v>
      </c>
      <c r="E15" s="361">
        <f ca="1">'Encoding Part 1'!I15</f>
        <v>5</v>
      </c>
      <c r="F15" s="362">
        <f>'Encoding Part 1'!K15</f>
        <v>0</v>
      </c>
      <c r="G15" s="362">
        <f>'Encoding Part 1'!L15</f>
        <v>0</v>
      </c>
      <c r="H15" s="363">
        <f ca="1">'Encoding Part 1'!M15</f>
        <v>5</v>
      </c>
      <c r="I15" s="363">
        <f ca="1">'Encoding Part 1'!N15</f>
        <v>0.33928999999999998</v>
      </c>
      <c r="J15" s="364" t="str">
        <f ca="1">'Encoding Part 1'!O15</f>
        <v>Outstanding</v>
      </c>
    </row>
    <row r="16" spans="1:10" ht="25.5" customHeight="1">
      <c r="B16" s="944"/>
      <c r="C16" s="359" t="s">
        <v>144</v>
      </c>
      <c r="D16" s="360">
        <v>6.7857142859999997E-2</v>
      </c>
      <c r="E16" s="361">
        <f ca="1">'Encoding Part 1'!I16</f>
        <v>5</v>
      </c>
      <c r="F16" s="362">
        <f>'Encoding Part 1'!K16</f>
        <v>0</v>
      </c>
      <c r="G16" s="362">
        <f>'Encoding Part 1'!L16</f>
        <v>0</v>
      </c>
      <c r="H16" s="363">
        <f ca="1">'Encoding Part 1'!M16</f>
        <v>5</v>
      </c>
      <c r="I16" s="363">
        <f ca="1">'Encoding Part 1'!N16</f>
        <v>0.33928999999999998</v>
      </c>
      <c r="J16" s="364" t="str">
        <f ca="1">'Encoding Part 1'!O16</f>
        <v>Outstanding</v>
      </c>
    </row>
    <row r="17" spans="2:10" ht="25.5" customHeight="1">
      <c r="B17" s="944" t="s">
        <v>146</v>
      </c>
      <c r="C17" s="359" t="s">
        <v>151</v>
      </c>
      <c r="D17" s="360">
        <v>6.7857142859999997E-2</v>
      </c>
      <c r="E17" s="361">
        <f ca="1">'Encoding Part 1'!I17</f>
        <v>5</v>
      </c>
      <c r="F17" s="362">
        <f>'Encoding Part 1'!K17</f>
        <v>0</v>
      </c>
      <c r="G17" s="362">
        <f>'Encoding Part 1'!L17</f>
        <v>0</v>
      </c>
      <c r="H17" s="363">
        <f ca="1">'Encoding Part 1'!M17</f>
        <v>5</v>
      </c>
      <c r="I17" s="363">
        <f ca="1">'Encoding Part 1'!N17</f>
        <v>0.33928999999999998</v>
      </c>
      <c r="J17" s="364" t="str">
        <f ca="1">'Encoding Part 1'!O17</f>
        <v>Outstanding</v>
      </c>
    </row>
    <row r="18" spans="2:10" ht="25.5" customHeight="1">
      <c r="B18" s="944"/>
      <c r="C18" s="359" t="s">
        <v>152</v>
      </c>
      <c r="D18" s="360">
        <v>6.7857142859999997E-2</v>
      </c>
      <c r="E18" s="361">
        <f ca="1">'Encoding Part 1'!I18</f>
        <v>5</v>
      </c>
      <c r="F18" s="362">
        <f>'Encoding Part 1'!K18</f>
        <v>0</v>
      </c>
      <c r="G18" s="362">
        <f>'Encoding Part 1'!L18</f>
        <v>0</v>
      </c>
      <c r="H18" s="363">
        <f ca="1">'Encoding Part 1'!M18</f>
        <v>5</v>
      </c>
      <c r="I18" s="363">
        <f ca="1">'Encoding Part 1'!N18</f>
        <v>0.33928999999999998</v>
      </c>
      <c r="J18" s="364" t="str">
        <f ca="1">'Encoding Part 1'!O18</f>
        <v>Outstanding</v>
      </c>
    </row>
    <row r="19" spans="2:10" ht="25.5" customHeight="1">
      <c r="B19" s="351" t="s">
        <v>147</v>
      </c>
      <c r="C19" s="359" t="s">
        <v>153</v>
      </c>
      <c r="D19" s="360">
        <v>6.7857142859999997E-2</v>
      </c>
      <c r="E19" s="361">
        <f ca="1">'Encoding Part 1'!I19</f>
        <v>4</v>
      </c>
      <c r="F19" s="362">
        <f>'Encoding Part 1'!K19</f>
        <v>0</v>
      </c>
      <c r="G19" s="362">
        <f>'Encoding Part 1'!L19</f>
        <v>0</v>
      </c>
      <c r="H19" s="363">
        <f ca="1">'Encoding Part 1'!M19</f>
        <v>4</v>
      </c>
      <c r="I19" s="363">
        <f ca="1">'Encoding Part 1'!N19</f>
        <v>0.27143</v>
      </c>
      <c r="J19" s="364" t="str">
        <f ca="1">'Encoding Part 1'!O19</f>
        <v>Very Satisfactory</v>
      </c>
    </row>
    <row r="20" spans="2:10" ht="25.5" customHeight="1">
      <c r="B20" s="944" t="s">
        <v>148</v>
      </c>
      <c r="C20" s="359" t="s">
        <v>154</v>
      </c>
      <c r="D20" s="360">
        <v>6.7857142859999997E-2</v>
      </c>
      <c r="E20" s="361">
        <f ca="1">'Encoding Part 1'!I20</f>
        <v>5</v>
      </c>
      <c r="F20" s="362">
        <f>'Encoding Part 1'!K20</f>
        <v>0</v>
      </c>
      <c r="G20" s="362">
        <f>'Encoding Part 1'!L20</f>
        <v>0</v>
      </c>
      <c r="H20" s="363">
        <f ca="1">'Encoding Part 1'!M20</f>
        <v>5</v>
      </c>
      <c r="I20" s="363">
        <f ca="1">'Encoding Part 1'!N20</f>
        <v>0.33928999999999998</v>
      </c>
      <c r="J20" s="364" t="str">
        <f ca="1">'Encoding Part 1'!O20</f>
        <v>Outstanding</v>
      </c>
    </row>
    <row r="21" spans="2:10" ht="25.5" customHeight="1">
      <c r="B21" s="944"/>
      <c r="C21" s="359" t="s">
        <v>155</v>
      </c>
      <c r="D21" s="360">
        <v>6.7857142859999997E-2</v>
      </c>
      <c r="E21" s="361">
        <f>'Encoding Part 1'!I21</f>
        <v>5</v>
      </c>
      <c r="F21" s="362">
        <f>'Encoding Part 1'!K21</f>
        <v>0</v>
      </c>
      <c r="G21" s="361">
        <f>'Encoding Part 1'!L21</f>
        <v>4</v>
      </c>
      <c r="H21" s="363">
        <f>'Encoding Part 1'!M21</f>
        <v>4.5</v>
      </c>
      <c r="I21" s="363">
        <f>'Encoding Part 1'!N21</f>
        <v>0.30536000000000002</v>
      </c>
      <c r="J21" s="364" t="str">
        <f>'Encoding Part 1'!O21</f>
        <v>Outstanding</v>
      </c>
    </row>
    <row r="22" spans="2:10" ht="25.5" customHeight="1">
      <c r="B22" s="944"/>
      <c r="C22" s="359" t="s">
        <v>156</v>
      </c>
      <c r="D22" s="360">
        <v>6.7857142859999997E-2</v>
      </c>
      <c r="E22" s="361">
        <f ca="1">'Encoding Part 1'!I22</f>
        <v>5</v>
      </c>
      <c r="F22" s="362">
        <f>'Encoding Part 1'!K22</f>
        <v>0</v>
      </c>
      <c r="G22" s="362">
        <f>'Encoding Part 1'!L22</f>
        <v>0</v>
      </c>
      <c r="H22" s="363">
        <f ca="1">'Encoding Part 1'!M22</f>
        <v>5</v>
      </c>
      <c r="I22" s="363">
        <f ca="1">'Encoding Part 1'!N22</f>
        <v>0.33928999999999998</v>
      </c>
      <c r="J22" s="364" t="str">
        <f ca="1">'Encoding Part 1'!O22</f>
        <v>Outstanding</v>
      </c>
    </row>
    <row r="23" spans="2:10" ht="25.5" customHeight="1">
      <c r="B23" s="944" t="s">
        <v>149</v>
      </c>
      <c r="C23" s="359" t="s">
        <v>157</v>
      </c>
      <c r="D23" s="360">
        <v>6.7857142859999997E-2</v>
      </c>
      <c r="E23" s="361">
        <f ca="1">'Encoding Part 1'!I23</f>
        <v>4</v>
      </c>
      <c r="F23" s="362">
        <f>'Encoding Part 1'!K23</f>
        <v>0</v>
      </c>
      <c r="G23" s="362">
        <f>'Encoding Part 1'!L23</f>
        <v>0</v>
      </c>
      <c r="H23" s="363">
        <f ca="1">'Encoding Part 1'!M23</f>
        <v>4</v>
      </c>
      <c r="I23" s="363">
        <f ca="1">'Encoding Part 1'!N23</f>
        <v>0.27143</v>
      </c>
      <c r="J23" s="364" t="str">
        <f ca="1">'Encoding Part 1'!O23</f>
        <v>Very Satisfactory</v>
      </c>
    </row>
    <row r="24" spans="2:10" ht="25.5" customHeight="1">
      <c r="B24" s="944"/>
      <c r="C24" s="359" t="s">
        <v>158</v>
      </c>
      <c r="D24" s="360">
        <v>6.7857142859999997E-2</v>
      </c>
      <c r="E24" s="361">
        <f>'Encoding Part 1'!I24</f>
        <v>4</v>
      </c>
      <c r="F24" s="362">
        <f>'Encoding Part 1'!K24</f>
        <v>0</v>
      </c>
      <c r="G24" s="362">
        <f>'Encoding Part 1'!L24</f>
        <v>0</v>
      </c>
      <c r="H24" s="363">
        <f>'Encoding Part 1'!M24</f>
        <v>4</v>
      </c>
      <c r="I24" s="363">
        <f>'Encoding Part 1'!N24</f>
        <v>0.27143</v>
      </c>
      <c r="J24" s="364" t="str">
        <f>'Encoding Part 1'!O24</f>
        <v>Very Satisfactory</v>
      </c>
    </row>
    <row r="25" spans="2:10" ht="25.5" customHeight="1">
      <c r="B25" s="944"/>
      <c r="C25" s="359" t="s">
        <v>159</v>
      </c>
      <c r="D25" s="360">
        <v>6.7857142859999997E-2</v>
      </c>
      <c r="E25" s="361">
        <f>'Encoding Part 1'!I25</f>
        <v>5</v>
      </c>
      <c r="F25" s="361">
        <f>'Encoding Part 1'!K25</f>
        <v>4</v>
      </c>
      <c r="G25" s="361">
        <f>'Encoding Part 1'!L25</f>
        <v>4</v>
      </c>
      <c r="H25" s="363">
        <f>'Encoding Part 1'!M25</f>
        <v>4.3333000000000004</v>
      </c>
      <c r="I25" s="363">
        <f>'Encoding Part 1'!N25</f>
        <v>0.29404999999999998</v>
      </c>
      <c r="J25" s="364" t="str">
        <f>'Encoding Part 1'!O25</f>
        <v>Very Satisfactory</v>
      </c>
    </row>
    <row r="26" spans="2:10" ht="25.5" customHeight="1">
      <c r="B26" s="944" t="s">
        <v>150</v>
      </c>
      <c r="C26" s="359" t="s">
        <v>160</v>
      </c>
      <c r="D26" s="360">
        <v>6.7857142859999997E-2</v>
      </c>
      <c r="E26" s="361">
        <f>'Encoding Part 1'!I26</f>
        <v>4</v>
      </c>
      <c r="F26" s="362">
        <f>'Encoding Part 1'!K26</f>
        <v>0</v>
      </c>
      <c r="G26" s="362">
        <f>'Encoding Part 1'!L26</f>
        <v>0</v>
      </c>
      <c r="H26" s="363">
        <f>'Encoding Part 1'!M26</f>
        <v>4</v>
      </c>
      <c r="I26" s="363">
        <f>'Encoding Part 1'!N26</f>
        <v>0.27143</v>
      </c>
      <c r="J26" s="364" t="str">
        <f>'Encoding Part 1'!O26</f>
        <v>Very Satisfactory</v>
      </c>
    </row>
    <row r="27" spans="2:10" ht="25.5" customHeight="1" thickBot="1">
      <c r="B27" s="981"/>
      <c r="C27" s="365" t="s">
        <v>161</v>
      </c>
      <c r="D27" s="366">
        <v>6.7857142859999997E-2</v>
      </c>
      <c r="E27" s="367">
        <f>'Encoding Part 1'!I27</f>
        <v>5</v>
      </c>
      <c r="F27" s="367">
        <f>'Encoding Part 1'!K27</f>
        <v>4</v>
      </c>
      <c r="G27" s="367">
        <f>'Encoding Part 1'!L27</f>
        <v>4</v>
      </c>
      <c r="H27" s="368">
        <f>'Encoding Part 1'!M27</f>
        <v>4.3333000000000004</v>
      </c>
      <c r="I27" s="368">
        <f>'Encoding Part 1'!N27</f>
        <v>0.29404999999999998</v>
      </c>
      <c r="J27" s="369" t="str">
        <f>'Encoding Part 1'!O27</f>
        <v>Very Satisfactory</v>
      </c>
    </row>
    <row r="28" spans="2:10" ht="25.5" customHeight="1" thickBot="1">
      <c r="B28" s="370" t="s">
        <v>162</v>
      </c>
      <c r="C28" s="371"/>
      <c r="D28" s="372"/>
      <c r="E28" s="372">
        <v>0.95</v>
      </c>
      <c r="F28" s="371"/>
      <c r="G28" s="982">
        <f ca="1">ROUND((AVERAGE(H14:H27)),3)</f>
        <v>4.5830000000000002</v>
      </c>
      <c r="H28" s="964"/>
      <c r="I28" s="942">
        <f ca="1">ROUND(SUM(I14:I27),4)</f>
        <v>4.3541999999999996</v>
      </c>
      <c r="J28" s="943"/>
    </row>
    <row r="29" spans="2:10" ht="25.5" customHeight="1" thickBot="1">
      <c r="B29" s="373" t="s">
        <v>163</v>
      </c>
      <c r="C29" s="374"/>
      <c r="D29" s="375"/>
      <c r="E29" s="375">
        <v>0.05</v>
      </c>
      <c r="F29" s="374"/>
      <c r="G29" s="994">
        <f>'Part 2-A'!N60</f>
        <v>4.4290000000000003</v>
      </c>
      <c r="H29" s="995"/>
      <c r="I29" s="965">
        <f>G29*0.05</f>
        <v>0.22145000000000004</v>
      </c>
      <c r="J29" s="966"/>
    </row>
    <row r="30" spans="2:10" ht="25.95" customHeight="1">
      <c r="B30" s="999" t="s">
        <v>1318</v>
      </c>
      <c r="C30" s="1000"/>
      <c r="D30" s="1000"/>
      <c r="E30" s="1000"/>
      <c r="F30" s="974" t="s">
        <v>1025</v>
      </c>
      <c r="G30" s="975"/>
      <c r="H30" s="976"/>
      <c r="I30" s="977">
        <f ca="1">I28+I29</f>
        <v>4.5756499999999996</v>
      </c>
      <c r="J30" s="978"/>
    </row>
    <row r="31" spans="2:10" ht="25.95" customHeight="1" thickBot="1">
      <c r="B31" s="1001"/>
      <c r="C31" s="1002"/>
      <c r="D31" s="1002"/>
      <c r="E31" s="1002"/>
      <c r="F31" s="996" t="s">
        <v>1498</v>
      </c>
      <c r="G31" s="997"/>
      <c r="H31" s="998"/>
      <c r="I31" s="979" t="str">
        <f ca="1">VLOOKUP(I30,adjectivalrating,2)</f>
        <v>Outstanding</v>
      </c>
      <c r="J31" s="980"/>
    </row>
    <row r="33" spans="1:10" ht="15.45" hidden="1" customHeight="1"/>
    <row r="35" spans="1:10" ht="18" customHeight="1">
      <c r="A35" s="376" t="s">
        <v>8</v>
      </c>
      <c r="B35" s="377"/>
      <c r="C35" s="377"/>
      <c r="D35" s="376" t="s">
        <v>9</v>
      </c>
      <c r="E35" s="376"/>
      <c r="F35" s="377"/>
      <c r="G35" s="377"/>
      <c r="H35" s="376" t="s">
        <v>10</v>
      </c>
      <c r="I35" s="378"/>
      <c r="J35" s="378"/>
    </row>
    <row r="36" spans="1:10" ht="18" customHeight="1">
      <c r="A36" s="376"/>
      <c r="B36" s="377"/>
      <c r="C36" s="377"/>
      <c r="D36" s="376"/>
      <c r="E36" s="376"/>
      <c r="F36" s="377"/>
      <c r="G36" s="377"/>
      <c r="H36" s="376"/>
      <c r="I36" s="378"/>
      <c r="J36" s="378"/>
    </row>
    <row r="37" spans="1:10" ht="18" customHeight="1">
      <c r="A37" s="960" t="str">
        <f>C4</f>
        <v>EJONIE G. DEGOLLACION</v>
      </c>
      <c r="B37" s="960"/>
      <c r="C37" s="960"/>
      <c r="D37" s="960" t="str">
        <f>H4</f>
        <v>GLORIFEL B. SAREÑO</v>
      </c>
      <c r="E37" s="960"/>
      <c r="F37" s="960"/>
      <c r="G37" s="960"/>
      <c r="H37" s="962" t="str">
        <f>'Encoding Part 1'!L33&amp;" "&amp;'Encoding Part 1'!Q33&amp;" "&amp;'Encoding Part 1'!G33</f>
        <v>NICKJON C. BABATU-ON</v>
      </c>
      <c r="I37" s="962"/>
      <c r="J37" s="962"/>
    </row>
    <row r="38" spans="1:10" ht="16.95" customHeight="1">
      <c r="A38" s="960" t="str">
        <f>C5</f>
        <v>Teacher III</v>
      </c>
      <c r="B38" s="960"/>
      <c r="C38" s="960"/>
      <c r="D38" s="960" t="str">
        <f>H5</f>
        <v>Master Teacher I</v>
      </c>
      <c r="E38" s="960"/>
      <c r="F38" s="960"/>
      <c r="G38" s="960"/>
      <c r="H38" s="960" t="str">
        <f>'Encoding Part 1'!G34</f>
        <v>Assistant School Principal II</v>
      </c>
      <c r="I38" s="960"/>
      <c r="J38" s="960"/>
    </row>
    <row r="39" spans="1:10" ht="16.95" customHeight="1">
      <c r="A39" s="961">
        <f>H6</f>
        <v>46112</v>
      </c>
      <c r="B39" s="960"/>
      <c r="C39" s="960"/>
      <c r="D39" s="961">
        <f>H6</f>
        <v>46112</v>
      </c>
      <c r="E39" s="960"/>
      <c r="F39" s="960"/>
      <c r="G39" s="960"/>
      <c r="H39" s="961">
        <f>H6</f>
        <v>46112</v>
      </c>
      <c r="I39" s="960"/>
      <c r="J39" s="960"/>
    </row>
    <row r="40" spans="1:10" ht="15.45" customHeight="1">
      <c r="A40" s="377"/>
      <c r="B40" s="377"/>
      <c r="C40" s="377"/>
      <c r="D40" s="377"/>
      <c r="E40" s="377"/>
      <c r="F40" s="377"/>
      <c r="G40" s="377"/>
      <c r="H40" s="377"/>
      <c r="I40" s="377"/>
      <c r="J40" s="377"/>
    </row>
  </sheetData>
  <sheetProtection algorithmName="SHA-512" hashValue="F+ZP6t4n8OPJXoMCLXfSlXlL4XIWVjLL9krSOiZ5BXh+bjT7Fdw/dG4aGyAzbI9k6gzWEnGiv32b5PJGBi20Vw==" saltValue="GlninWtoGM42EQbV5Rw5bw==" spinCount="100000" sheet="1" objects="1" scenarios="1"/>
  <mergeCells count="42">
    <mergeCell ref="A37:C37"/>
    <mergeCell ref="D37:G37"/>
    <mergeCell ref="H37:J37"/>
    <mergeCell ref="I28:J28"/>
    <mergeCell ref="G29:H29"/>
    <mergeCell ref="I29:J29"/>
    <mergeCell ref="I30:J30"/>
    <mergeCell ref="I31:J31"/>
    <mergeCell ref="G28:H28"/>
    <mergeCell ref="F30:H30"/>
    <mergeCell ref="F31:H31"/>
    <mergeCell ref="B30:E31"/>
    <mergeCell ref="A38:C38"/>
    <mergeCell ref="A39:C39"/>
    <mergeCell ref="D38:G38"/>
    <mergeCell ref="D39:G39"/>
    <mergeCell ref="H38:J38"/>
    <mergeCell ref="H39:J39"/>
    <mergeCell ref="B14:B16"/>
    <mergeCell ref="B17:B18"/>
    <mergeCell ref="B20:B22"/>
    <mergeCell ref="B23:B25"/>
    <mergeCell ref="B26:B27"/>
    <mergeCell ref="C7:E7"/>
    <mergeCell ref="B9:J9"/>
    <mergeCell ref="B12:B13"/>
    <mergeCell ref="C12:C13"/>
    <mergeCell ref="D12:D13"/>
    <mergeCell ref="E12:H12"/>
    <mergeCell ref="I12:I13"/>
    <mergeCell ref="J12:J13"/>
    <mergeCell ref="C5:E5"/>
    <mergeCell ref="F5:G5"/>
    <mergeCell ref="C6:E6"/>
    <mergeCell ref="F6:G6"/>
    <mergeCell ref="A1:J1"/>
    <mergeCell ref="A2:J2"/>
    <mergeCell ref="C4:E4"/>
    <mergeCell ref="F4:G4"/>
    <mergeCell ref="H4:J4"/>
    <mergeCell ref="H5:J5"/>
    <mergeCell ref="H6:J6"/>
  </mergeCells>
  <conditionalFormatting sqref="B30 I31:J31 F30:F31">
    <cfRule type="expression" dxfId="20" priority="4">
      <formula>career_stage="P"</formula>
    </cfRule>
    <cfRule type="expression" dxfId="19" priority="5">
      <formula>career_stage="HP"</formula>
    </cfRule>
  </conditionalFormatting>
  <conditionalFormatting sqref="B14 B17 B19:B20 B23 B26">
    <cfRule type="expression" dxfId="18" priority="3">
      <formula>#REF!</formula>
    </cfRule>
  </conditionalFormatting>
  <conditionalFormatting sqref="I30:J30">
    <cfRule type="expression" dxfId="17" priority="1">
      <formula>career_stage="P"</formula>
    </cfRule>
    <cfRule type="expression" dxfId="16" priority="2">
      <formula>career_stage="HP"</formula>
    </cfRule>
  </conditionalFormatting>
  <printOptions horizontalCentered="1"/>
  <pageMargins left="0.5" right="0.5" top="0.7" bottom="0.5" header="0" footer="0.3"/>
  <pageSetup paperSize="9" scale="68" fitToHeight="0" orientation="portrait" r:id="rId1"/>
  <headerFooter>
    <oddHeader>&amp;C&amp;"Calibri,Regular"&amp;K000000&amp;G</oddHeader>
    <oddFooter>Page &amp;P of &amp;N</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06D75-3AE0-4DA1-B123-07298C6FE64B}">
  <sheetPr codeName="PART5">
    <pageSetUpPr fitToPage="1"/>
  </sheetPr>
  <dimension ref="A1:K41"/>
  <sheetViews>
    <sheetView showGridLines="0" zoomScale="90" zoomScaleNormal="90" zoomScaleSheetLayoutView="100" workbookViewId="0">
      <selection activeCell="C4" sqref="C4:E4"/>
    </sheetView>
  </sheetViews>
  <sheetFormatPr defaultColWidth="9.6640625" defaultRowHeight="15.45" customHeight="1"/>
  <cols>
    <col min="1" max="1" width="3.21875" style="332" customWidth="1"/>
    <col min="2" max="2" width="23.21875" style="332" customWidth="1"/>
    <col min="3" max="3" width="27.33203125" style="332" customWidth="1"/>
    <col min="4" max="4" width="16.21875" style="332" customWidth="1"/>
    <col min="5" max="5" width="11.88671875" style="332" bestFit="1" customWidth="1"/>
    <col min="6" max="6" width="11.88671875" style="332" customWidth="1"/>
    <col min="7" max="7" width="11.88671875" style="332" bestFit="1" customWidth="1"/>
    <col min="8" max="8" width="9.6640625" style="332"/>
    <col min="9" max="10" width="13.6640625" style="332" customWidth="1"/>
    <col min="11" max="11" width="25.88671875" style="332" customWidth="1"/>
    <col min="12" max="16384" width="9.6640625" style="332"/>
  </cols>
  <sheetData>
    <row r="1" spans="1:11" ht="36" customHeight="1">
      <c r="A1" s="935" t="str">
        <f>HOME!A1</f>
        <v>OFFICIAL ELECTRONIC IPCRF TOOL
 SY 2025-2026</v>
      </c>
      <c r="B1" s="936"/>
      <c r="C1" s="936"/>
      <c r="D1" s="936"/>
      <c r="E1" s="936"/>
      <c r="F1" s="936"/>
      <c r="G1" s="936"/>
      <c r="H1" s="936"/>
      <c r="I1" s="936"/>
      <c r="J1" s="936"/>
      <c r="K1" s="936"/>
    </row>
    <row r="2" spans="1:11" ht="19.05" customHeight="1">
      <c r="A2" s="937" t="str">
        <f>HOME!E17&amp;" Teacher"</f>
        <v>Beginning towards Proficient Teacher</v>
      </c>
      <c r="B2" s="937"/>
      <c r="C2" s="937"/>
      <c r="D2" s="937"/>
      <c r="E2" s="937"/>
      <c r="F2" s="937"/>
      <c r="G2" s="937"/>
      <c r="H2" s="937"/>
      <c r="I2" s="937"/>
      <c r="J2" s="937"/>
      <c r="K2" s="937"/>
    </row>
    <row r="3" spans="1:11" ht="9" customHeight="1" thickBot="1">
      <c r="B3" s="333"/>
      <c r="C3" s="333"/>
      <c r="D3" s="333"/>
      <c r="E3" s="333"/>
      <c r="F3" s="333"/>
      <c r="G3" s="333"/>
      <c r="H3" s="333"/>
      <c r="I3" s="333"/>
      <c r="J3" s="333"/>
      <c r="K3" s="333"/>
    </row>
    <row r="4" spans="1:11" ht="18.45" customHeight="1">
      <c r="B4" s="380" t="s">
        <v>128</v>
      </c>
      <c r="C4" s="1042" t="str">
        <f>'PART 1-HP'!C2</f>
        <v>EJONIE G. DEGOLLACION</v>
      </c>
      <c r="D4" s="1042"/>
      <c r="E4" s="1043"/>
      <c r="F4" s="1044" t="s">
        <v>129</v>
      </c>
      <c r="G4" s="1045"/>
      <c r="H4" s="1046" t="str">
        <f>'PART 1-HP'!J2</f>
        <v>GLORIFEL B. SAREÑO</v>
      </c>
      <c r="I4" s="1046"/>
      <c r="J4" s="1046"/>
      <c r="K4" s="1047"/>
    </row>
    <row r="5" spans="1:11" ht="18.45" customHeight="1">
      <c r="B5" s="381" t="s">
        <v>0</v>
      </c>
      <c r="C5" s="985" t="str">
        <f>'PART 1-HP'!C3</f>
        <v>Teacher III</v>
      </c>
      <c r="D5" s="985"/>
      <c r="E5" s="986"/>
      <c r="F5" s="1036" t="s">
        <v>0</v>
      </c>
      <c r="G5" s="1037"/>
      <c r="H5" s="1038" t="str">
        <f>'PART 1-HP'!J3</f>
        <v>Master Teacher I</v>
      </c>
      <c r="I5" s="1038"/>
      <c r="J5" s="1038"/>
      <c r="K5" s="1039"/>
    </row>
    <row r="6" spans="1:11" ht="18.45" customHeight="1">
      <c r="B6" s="381" t="s">
        <v>165</v>
      </c>
      <c r="C6" s="987" t="str">
        <f>'PART 1-HP'!C4</f>
        <v xml:space="preserve">Lapu-Lapu City </v>
      </c>
      <c r="D6" s="987"/>
      <c r="E6" s="988"/>
      <c r="F6" s="1036" t="s">
        <v>1</v>
      </c>
      <c r="G6" s="1037"/>
      <c r="H6" s="1040">
        <f>'PART 1-HP'!J4</f>
        <v>46112</v>
      </c>
      <c r="I6" s="1040"/>
      <c r="J6" s="1040"/>
      <c r="K6" s="1041"/>
    </row>
    <row r="7" spans="1:11" ht="18.45" customHeight="1" thickBot="1">
      <c r="B7" s="382" t="s">
        <v>130</v>
      </c>
      <c r="C7" s="1029" t="str">
        <f>'PART 1-HP'!C5</f>
        <v>SY 2025-2026</v>
      </c>
      <c r="D7" s="1030"/>
      <c r="E7" s="1031"/>
      <c r="F7" s="1032"/>
      <c r="G7" s="1033"/>
      <c r="H7" s="1034"/>
      <c r="I7" s="1034"/>
      <c r="J7" s="1034"/>
      <c r="K7" s="1035"/>
    </row>
    <row r="8" spans="1:11" ht="15.45" customHeight="1">
      <c r="B8" s="343"/>
      <c r="C8" s="343"/>
      <c r="D8" s="343"/>
      <c r="E8" s="343"/>
      <c r="F8" s="343"/>
      <c r="G8" s="343"/>
      <c r="H8" s="343"/>
      <c r="I8" s="343"/>
      <c r="J8" s="343"/>
      <c r="K8" s="343"/>
    </row>
    <row r="9" spans="1:11" s="344" customFormat="1" ht="15.45" customHeight="1">
      <c r="B9" s="950" t="s">
        <v>131</v>
      </c>
      <c r="C9" s="950"/>
      <c r="D9" s="950"/>
      <c r="E9" s="950"/>
      <c r="F9" s="950"/>
      <c r="G9" s="950"/>
      <c r="H9" s="950"/>
      <c r="I9" s="950"/>
      <c r="J9" s="950"/>
      <c r="K9" s="950"/>
    </row>
    <row r="10" spans="1:11" ht="15.45" customHeight="1" thickBot="1">
      <c r="B10" s="345"/>
      <c r="C10" s="345"/>
      <c r="D10" s="345"/>
      <c r="E10" s="345"/>
      <c r="F10" s="345"/>
      <c r="G10" s="345"/>
      <c r="H10" s="345"/>
      <c r="I10" s="345"/>
      <c r="J10" s="345"/>
      <c r="K10" s="345"/>
    </row>
    <row r="11" spans="1:11" ht="25.5" customHeight="1">
      <c r="B11" s="346" t="s">
        <v>162</v>
      </c>
      <c r="C11" s="347"/>
      <c r="D11" s="348">
        <v>0.95</v>
      </c>
      <c r="E11" s="347"/>
      <c r="F11" s="347"/>
      <c r="G11" s="347"/>
      <c r="H11" s="347"/>
      <c r="I11" s="347"/>
      <c r="J11" s="347"/>
      <c r="K11" s="349"/>
    </row>
    <row r="12" spans="1:11" ht="25.5" customHeight="1">
      <c r="B12" s="951" t="s">
        <v>132</v>
      </c>
      <c r="C12" s="953" t="s">
        <v>1256</v>
      </c>
      <c r="D12" s="955" t="s">
        <v>133</v>
      </c>
      <c r="E12" s="957" t="s">
        <v>134</v>
      </c>
      <c r="F12" s="957"/>
      <c r="G12" s="957"/>
      <c r="H12" s="957"/>
      <c r="I12" s="957"/>
      <c r="J12" s="983" t="s">
        <v>135</v>
      </c>
      <c r="K12" s="945" t="s">
        <v>136</v>
      </c>
    </row>
    <row r="13" spans="1:11" ht="25.5" customHeight="1" thickBot="1">
      <c r="B13" s="952"/>
      <c r="C13" s="954"/>
      <c r="D13" s="956"/>
      <c r="E13" s="350" t="s">
        <v>1385</v>
      </c>
      <c r="F13" s="350" t="s">
        <v>1386</v>
      </c>
      <c r="G13" s="350" t="s">
        <v>138</v>
      </c>
      <c r="H13" s="350" t="s">
        <v>139</v>
      </c>
      <c r="I13" s="350" t="s">
        <v>140</v>
      </c>
      <c r="J13" s="984"/>
      <c r="K13" s="946"/>
    </row>
    <row r="14" spans="1:11" ht="25.5" customHeight="1">
      <c r="B14" s="944" t="s">
        <v>145</v>
      </c>
      <c r="C14" s="352" t="s">
        <v>1599</v>
      </c>
      <c r="D14" s="353">
        <v>6.7857142859999997E-2</v>
      </c>
      <c r="E14" s="354">
        <f ca="1">'Encoding Part 1'!I14</f>
        <v>5</v>
      </c>
      <c r="F14" s="355">
        <f>'Encoding Part 1'!J14</f>
        <v>0</v>
      </c>
      <c r="G14" s="355">
        <f>'Encoding Part 1'!K14</f>
        <v>0</v>
      </c>
      <c r="H14" s="355">
        <f>'Encoding Part 1'!L14</f>
        <v>0</v>
      </c>
      <c r="I14" s="357">
        <f ca="1">'Encoding Part 1'!M14</f>
        <v>5</v>
      </c>
      <c r="J14" s="357">
        <f ca="1">'Encoding Part 1'!N14</f>
        <v>0.33928999999999998</v>
      </c>
      <c r="K14" s="383" t="str">
        <f ca="1">'Encoding Part 1'!O14</f>
        <v>Outstanding</v>
      </c>
    </row>
    <row r="15" spans="1:11" ht="25.5" customHeight="1">
      <c r="B15" s="944"/>
      <c r="C15" s="359" t="s">
        <v>1600</v>
      </c>
      <c r="D15" s="360">
        <v>6.7857142859999997E-2</v>
      </c>
      <c r="E15" s="361">
        <f ca="1">'Encoding Part 1'!I15</f>
        <v>5</v>
      </c>
      <c r="F15" s="361">
        <f>'Encoding Part 1'!J15</f>
        <v>0</v>
      </c>
      <c r="G15" s="362">
        <f>'Encoding Part 1'!K15</f>
        <v>0</v>
      </c>
      <c r="H15" s="362">
        <f>'Encoding Part 1'!L15</f>
        <v>0</v>
      </c>
      <c r="I15" s="363">
        <f ca="1">'Encoding Part 1'!M15</f>
        <v>5</v>
      </c>
      <c r="J15" s="363">
        <f ca="1">'Encoding Part 1'!N15</f>
        <v>0.33928999999999998</v>
      </c>
      <c r="K15" s="364" t="str">
        <f ca="1">'Encoding Part 1'!O15</f>
        <v>Outstanding</v>
      </c>
    </row>
    <row r="16" spans="1:11" ht="25.5" customHeight="1">
      <c r="B16" s="944"/>
      <c r="C16" s="359" t="s">
        <v>1601</v>
      </c>
      <c r="D16" s="360">
        <v>6.7857142859999997E-2</v>
      </c>
      <c r="E16" s="361">
        <f ca="1">'Encoding Part 1'!I16</f>
        <v>5</v>
      </c>
      <c r="F16" s="362">
        <f>'Encoding Part 1'!J16</f>
        <v>0</v>
      </c>
      <c r="G16" s="362">
        <f>'Encoding Part 1'!K16</f>
        <v>0</v>
      </c>
      <c r="H16" s="362">
        <f>'Encoding Part 1'!L16</f>
        <v>0</v>
      </c>
      <c r="I16" s="363">
        <f ca="1">'Encoding Part 1'!M16</f>
        <v>5</v>
      </c>
      <c r="J16" s="363">
        <f ca="1">'Encoding Part 1'!N16</f>
        <v>0.33928999999999998</v>
      </c>
      <c r="K16" s="364" t="str">
        <f ca="1">'Encoding Part 1'!O16</f>
        <v>Outstanding</v>
      </c>
    </row>
    <row r="17" spans="2:11" ht="25.5" customHeight="1">
      <c r="B17" s="944" t="s">
        <v>146</v>
      </c>
      <c r="C17" s="359" t="s">
        <v>1602</v>
      </c>
      <c r="D17" s="360">
        <v>6.7857142859999997E-2</v>
      </c>
      <c r="E17" s="361">
        <f ca="1">'Encoding Part 1'!I17</f>
        <v>5</v>
      </c>
      <c r="F17" s="361">
        <f>'Encoding Part 1'!J17</f>
        <v>0</v>
      </c>
      <c r="G17" s="362">
        <f>'Encoding Part 1'!K17</f>
        <v>0</v>
      </c>
      <c r="H17" s="362">
        <f>'Encoding Part 1'!L17</f>
        <v>0</v>
      </c>
      <c r="I17" s="363">
        <f ca="1">'Encoding Part 1'!M17</f>
        <v>5</v>
      </c>
      <c r="J17" s="363">
        <f ca="1">'Encoding Part 1'!N17</f>
        <v>0.33928999999999998</v>
      </c>
      <c r="K17" s="364" t="str">
        <f ca="1">'Encoding Part 1'!O17</f>
        <v>Outstanding</v>
      </c>
    </row>
    <row r="18" spans="2:11" ht="25.5" customHeight="1">
      <c r="B18" s="944"/>
      <c r="C18" s="359" t="s">
        <v>1603</v>
      </c>
      <c r="D18" s="360">
        <v>6.7857142859999997E-2</v>
      </c>
      <c r="E18" s="361">
        <f ca="1">'Encoding Part 1'!I18</f>
        <v>5</v>
      </c>
      <c r="F18" s="362">
        <f>'Encoding Part 1'!J18</f>
        <v>0</v>
      </c>
      <c r="G18" s="362">
        <f>'Encoding Part 1'!K18</f>
        <v>0</v>
      </c>
      <c r="H18" s="362">
        <f>'Encoding Part 1'!L18</f>
        <v>0</v>
      </c>
      <c r="I18" s="363">
        <f ca="1">'Encoding Part 1'!M18</f>
        <v>5</v>
      </c>
      <c r="J18" s="363">
        <f ca="1">'Encoding Part 1'!N18</f>
        <v>0.33928999999999998</v>
      </c>
      <c r="K18" s="364" t="str">
        <f ca="1">'Encoding Part 1'!O18</f>
        <v>Outstanding</v>
      </c>
    </row>
    <row r="19" spans="2:11" ht="25.5" customHeight="1">
      <c r="B19" s="351" t="s">
        <v>147</v>
      </c>
      <c r="C19" s="359" t="s">
        <v>1604</v>
      </c>
      <c r="D19" s="360">
        <v>6.7857142859999997E-2</v>
      </c>
      <c r="E19" s="361">
        <f ca="1">'Encoding Part 1'!I19</f>
        <v>4</v>
      </c>
      <c r="F19" s="361">
        <f>'Encoding Part 1'!J19</f>
        <v>0</v>
      </c>
      <c r="G19" s="362">
        <f>'Encoding Part 1'!K19</f>
        <v>0</v>
      </c>
      <c r="H19" s="362">
        <f>'Encoding Part 1'!L19</f>
        <v>0</v>
      </c>
      <c r="I19" s="363">
        <f ca="1">'Encoding Part 1'!M19</f>
        <v>4</v>
      </c>
      <c r="J19" s="363">
        <f ca="1">'Encoding Part 1'!N19</f>
        <v>0.27143</v>
      </c>
      <c r="K19" s="364" t="str">
        <f ca="1">'Encoding Part 1'!O19</f>
        <v>Very Satisfactory</v>
      </c>
    </row>
    <row r="20" spans="2:11" ht="25.5" customHeight="1">
      <c r="B20" s="944" t="s">
        <v>148</v>
      </c>
      <c r="C20" s="359" t="s">
        <v>1605</v>
      </c>
      <c r="D20" s="360">
        <v>6.7857142859999997E-2</v>
      </c>
      <c r="E20" s="361">
        <f ca="1">'Encoding Part 1'!I20</f>
        <v>5</v>
      </c>
      <c r="F20" s="362">
        <f>'Encoding Part 1'!J20</f>
        <v>0</v>
      </c>
      <c r="G20" s="362">
        <f>'Encoding Part 1'!K20</f>
        <v>0</v>
      </c>
      <c r="H20" s="362">
        <f>'Encoding Part 1'!L20</f>
        <v>0</v>
      </c>
      <c r="I20" s="363">
        <f ca="1">'Encoding Part 1'!M20</f>
        <v>5</v>
      </c>
      <c r="J20" s="363">
        <f ca="1">'Encoding Part 1'!N20</f>
        <v>0.33928999999999998</v>
      </c>
      <c r="K20" s="364" t="str">
        <f ca="1">'Encoding Part 1'!O20</f>
        <v>Outstanding</v>
      </c>
    </row>
    <row r="21" spans="2:11" ht="25.5" customHeight="1">
      <c r="B21" s="944"/>
      <c r="C21" s="359" t="s">
        <v>1606</v>
      </c>
      <c r="D21" s="360">
        <v>6.7857142859999997E-2</v>
      </c>
      <c r="E21" s="361">
        <f>'Encoding Part 1'!I21</f>
        <v>5</v>
      </c>
      <c r="F21" s="362">
        <f>'Encoding Part 1'!J21</f>
        <v>0</v>
      </c>
      <c r="G21" s="362">
        <f>'Encoding Part 1'!K21</f>
        <v>0</v>
      </c>
      <c r="H21" s="361">
        <f>'Encoding Part 1'!L21</f>
        <v>4</v>
      </c>
      <c r="I21" s="363">
        <f>'Encoding Part 1'!M21</f>
        <v>4.5</v>
      </c>
      <c r="J21" s="363">
        <f>'Encoding Part 1'!N21</f>
        <v>0.30536000000000002</v>
      </c>
      <c r="K21" s="364" t="str">
        <f>'Encoding Part 1'!O21</f>
        <v>Outstanding</v>
      </c>
    </row>
    <row r="22" spans="2:11" ht="25.5" customHeight="1">
      <c r="B22" s="944"/>
      <c r="C22" s="359" t="s">
        <v>1607</v>
      </c>
      <c r="D22" s="360">
        <v>6.7857142859999997E-2</v>
      </c>
      <c r="E22" s="361">
        <f ca="1">'Encoding Part 1'!I22</f>
        <v>5</v>
      </c>
      <c r="F22" s="361">
        <f>'Encoding Part 1'!J22</f>
        <v>0</v>
      </c>
      <c r="G22" s="362">
        <f>'Encoding Part 1'!K22</f>
        <v>0</v>
      </c>
      <c r="H22" s="362">
        <f>'Encoding Part 1'!L22</f>
        <v>0</v>
      </c>
      <c r="I22" s="363">
        <f ca="1">'Encoding Part 1'!M22</f>
        <v>5</v>
      </c>
      <c r="J22" s="363">
        <f ca="1">'Encoding Part 1'!N22</f>
        <v>0.33928999999999998</v>
      </c>
      <c r="K22" s="364" t="str">
        <f ca="1">'Encoding Part 1'!O22</f>
        <v>Outstanding</v>
      </c>
    </row>
    <row r="23" spans="2:11" ht="25.5" customHeight="1">
      <c r="B23" s="944" t="s">
        <v>149</v>
      </c>
      <c r="C23" s="359" t="s">
        <v>1608</v>
      </c>
      <c r="D23" s="360">
        <v>6.7857142859999997E-2</v>
      </c>
      <c r="E23" s="361">
        <f ca="1">'Encoding Part 1'!I23</f>
        <v>4</v>
      </c>
      <c r="F23" s="361">
        <f>'Encoding Part 1'!J23</f>
        <v>0</v>
      </c>
      <c r="G23" s="362">
        <f>'Encoding Part 1'!K23</f>
        <v>0</v>
      </c>
      <c r="H23" s="362">
        <f>'Encoding Part 1'!L23</f>
        <v>0</v>
      </c>
      <c r="I23" s="363">
        <f ca="1">'Encoding Part 1'!M23</f>
        <v>4</v>
      </c>
      <c r="J23" s="363">
        <f ca="1">'Encoding Part 1'!N23</f>
        <v>0.27143</v>
      </c>
      <c r="K23" s="364" t="str">
        <f ca="1">'Encoding Part 1'!O23</f>
        <v>Very Satisfactory</v>
      </c>
    </row>
    <row r="24" spans="2:11" ht="25.5" customHeight="1">
      <c r="B24" s="944"/>
      <c r="C24" s="359" t="s">
        <v>1609</v>
      </c>
      <c r="D24" s="360">
        <v>6.7857142859999997E-2</v>
      </c>
      <c r="E24" s="361">
        <f>'Encoding Part 1'!I24</f>
        <v>4</v>
      </c>
      <c r="F24" s="362">
        <f>'Encoding Part 1'!J24</f>
        <v>0</v>
      </c>
      <c r="G24" s="362">
        <f>'Encoding Part 1'!K24</f>
        <v>0</v>
      </c>
      <c r="H24" s="362">
        <f>'Encoding Part 1'!L24</f>
        <v>0</v>
      </c>
      <c r="I24" s="363">
        <f>'Encoding Part 1'!M24</f>
        <v>4</v>
      </c>
      <c r="J24" s="363">
        <f>'Encoding Part 1'!N24</f>
        <v>0.27143</v>
      </c>
      <c r="K24" s="364" t="str">
        <f>'Encoding Part 1'!O24</f>
        <v>Very Satisfactory</v>
      </c>
    </row>
    <row r="25" spans="2:11" ht="25.5" customHeight="1">
      <c r="B25" s="944"/>
      <c r="C25" s="359" t="s">
        <v>1610</v>
      </c>
      <c r="D25" s="360">
        <v>6.7857142859999997E-2</v>
      </c>
      <c r="E25" s="361">
        <f>'Encoding Part 1'!I25</f>
        <v>5</v>
      </c>
      <c r="F25" s="362">
        <f>'Encoding Part 1'!J25</f>
        <v>0</v>
      </c>
      <c r="G25" s="384">
        <f>'Encoding Part 1'!K25</f>
        <v>4</v>
      </c>
      <c r="H25" s="384">
        <f>'Encoding Part 1'!L25</f>
        <v>4</v>
      </c>
      <c r="I25" s="363">
        <f>'Encoding Part 1'!M25</f>
        <v>4.3333000000000004</v>
      </c>
      <c r="J25" s="363">
        <f>'Encoding Part 1'!N25</f>
        <v>0.29404999999999998</v>
      </c>
      <c r="K25" s="364" t="str">
        <f>'Encoding Part 1'!O25</f>
        <v>Very Satisfactory</v>
      </c>
    </row>
    <row r="26" spans="2:11" ht="25.5" customHeight="1">
      <c r="B26" s="944" t="s">
        <v>150</v>
      </c>
      <c r="C26" s="359" t="s">
        <v>1611</v>
      </c>
      <c r="D26" s="360">
        <v>6.7857142859999997E-2</v>
      </c>
      <c r="E26" s="361">
        <f>'Encoding Part 1'!I26</f>
        <v>4</v>
      </c>
      <c r="F26" s="362">
        <f>'Encoding Part 1'!J26</f>
        <v>0</v>
      </c>
      <c r="G26" s="362">
        <f>'Encoding Part 1'!K26</f>
        <v>0</v>
      </c>
      <c r="H26" s="362">
        <f>'Encoding Part 1'!L26</f>
        <v>0</v>
      </c>
      <c r="I26" s="363">
        <f>'Encoding Part 1'!M26</f>
        <v>4</v>
      </c>
      <c r="J26" s="363">
        <f>'Encoding Part 1'!N26</f>
        <v>0.27143</v>
      </c>
      <c r="K26" s="364" t="str">
        <f>'Encoding Part 1'!O26</f>
        <v>Very Satisfactory</v>
      </c>
    </row>
    <row r="27" spans="2:11" ht="25.5" customHeight="1" thickBot="1">
      <c r="B27" s="1028"/>
      <c r="C27" s="365" t="s">
        <v>1612</v>
      </c>
      <c r="D27" s="366">
        <v>6.7857142859999997E-2</v>
      </c>
      <c r="E27" s="367">
        <f>'Encoding Part 1'!I27</f>
        <v>5</v>
      </c>
      <c r="F27" s="385">
        <f>'Encoding Part 1'!J27</f>
        <v>0</v>
      </c>
      <c r="G27" s="384">
        <f>'Encoding Part 1'!K27</f>
        <v>4</v>
      </c>
      <c r="H27" s="384">
        <f>'Encoding Part 1'!L27</f>
        <v>4</v>
      </c>
      <c r="I27" s="363">
        <f>'Encoding Part 1'!M27</f>
        <v>4.3333000000000004</v>
      </c>
      <c r="J27" s="363">
        <f>'Encoding Part 1'!N27</f>
        <v>0.29404999999999998</v>
      </c>
      <c r="K27" s="369" t="str">
        <f>'Encoding Part 1'!O27</f>
        <v>Very Satisfactory</v>
      </c>
    </row>
    <row r="28" spans="2:11" ht="25.5" customHeight="1">
      <c r="B28" s="386" t="s">
        <v>162</v>
      </c>
      <c r="C28" s="387"/>
      <c r="D28" s="372"/>
      <c r="E28" s="372">
        <v>0.95</v>
      </c>
      <c r="F28" s="372"/>
      <c r="G28" s="371"/>
      <c r="H28" s="1013">
        <f ca="1">ROUND((AVERAGE(I14:I27)),3)</f>
        <v>4.5830000000000002</v>
      </c>
      <c r="I28" s="1005"/>
      <c r="J28" s="1004">
        <f ca="1">ROUND(SUM(J14:J27),4)</f>
        <v>4.3541999999999996</v>
      </c>
      <c r="K28" s="1005"/>
    </row>
    <row r="29" spans="2:11" ht="25.5" customHeight="1">
      <c r="B29" s="388" t="s">
        <v>163</v>
      </c>
      <c r="C29" s="389"/>
      <c r="D29" s="390"/>
      <c r="E29" s="390">
        <v>2.5000000000000001E-2</v>
      </c>
      <c r="F29" s="390"/>
      <c r="G29" s="391"/>
      <c r="H29" s="1006">
        <f>'Part 2-A'!N60</f>
        <v>4.4290000000000003</v>
      </c>
      <c r="I29" s="1007"/>
      <c r="J29" s="1008">
        <f>H29*0.025</f>
        <v>0.11072500000000002</v>
      </c>
      <c r="K29" s="1009"/>
    </row>
    <row r="30" spans="2:11" ht="25.5" customHeight="1" thickBot="1">
      <c r="B30" s="392" t="s">
        <v>164</v>
      </c>
      <c r="C30" s="393"/>
      <c r="D30" s="394"/>
      <c r="E30" s="394">
        <v>2.5000000000000001E-2</v>
      </c>
      <c r="F30" s="394"/>
      <c r="G30" s="379"/>
      <c r="H30" s="1010" t="str">
        <f>'Part 2-B'!E25</f>
        <v/>
      </c>
      <c r="I30" s="1011"/>
      <c r="J30" s="1012" t="e">
        <f>H30*0.025</f>
        <v>#VALUE!</v>
      </c>
      <c r="K30" s="1011"/>
    </row>
    <row r="31" spans="2:11" ht="25.95" customHeight="1">
      <c r="B31" s="1024" t="s">
        <v>1318</v>
      </c>
      <c r="C31" s="1025"/>
      <c r="D31" s="1025"/>
      <c r="E31" s="1025"/>
      <c r="F31" s="1025"/>
      <c r="G31" s="1018" t="s">
        <v>1025</v>
      </c>
      <c r="H31" s="1019"/>
      <c r="I31" s="1020"/>
      <c r="J31" s="1014" t="e">
        <f ca="1">J28+J29+J30</f>
        <v>#VALUE!</v>
      </c>
      <c r="K31" s="1015"/>
    </row>
    <row r="32" spans="2:11" ht="25.95" customHeight="1" thickBot="1">
      <c r="B32" s="1026"/>
      <c r="C32" s="1027"/>
      <c r="D32" s="1027"/>
      <c r="E32" s="1027"/>
      <c r="F32" s="1027"/>
      <c r="G32" s="1021" t="s">
        <v>1498</v>
      </c>
      <c r="H32" s="1022"/>
      <c r="I32" s="1023"/>
      <c r="J32" s="1016" t="e">
        <f ca="1">VLOOKUP(J31,adjectivalrating,2)</f>
        <v>#VALUE!</v>
      </c>
      <c r="K32" s="1017"/>
    </row>
    <row r="34" spans="1:11" ht="15.45" hidden="1" customHeight="1"/>
    <row r="36" spans="1:11" ht="18" customHeight="1">
      <c r="A36" s="376" t="s">
        <v>8</v>
      </c>
      <c r="B36" s="377"/>
      <c r="C36" s="377"/>
      <c r="D36" s="376" t="s">
        <v>9</v>
      </c>
      <c r="E36" s="376"/>
      <c r="F36" s="376"/>
      <c r="G36" s="377"/>
      <c r="H36" s="377"/>
      <c r="I36" s="376" t="s">
        <v>10</v>
      </c>
      <c r="J36" s="378"/>
      <c r="K36" s="378"/>
    </row>
    <row r="37" spans="1:11" ht="18" customHeight="1">
      <c r="A37" s="376"/>
      <c r="B37" s="377"/>
      <c r="C37" s="377"/>
      <c r="D37" s="376"/>
      <c r="E37" s="376"/>
      <c r="F37" s="376"/>
      <c r="G37" s="377"/>
      <c r="H37" s="377"/>
      <c r="I37" s="376"/>
      <c r="J37" s="378"/>
      <c r="K37" s="378"/>
    </row>
    <row r="38" spans="1:11" ht="18" customHeight="1">
      <c r="A38" s="960" t="str">
        <f>C4</f>
        <v>EJONIE G. DEGOLLACION</v>
      </c>
      <c r="B38" s="960"/>
      <c r="C38" s="960"/>
      <c r="D38" s="960" t="str">
        <f>H4</f>
        <v>GLORIFEL B. SAREÑO</v>
      </c>
      <c r="E38" s="960"/>
      <c r="F38" s="960"/>
      <c r="G38" s="960"/>
      <c r="H38" s="960"/>
      <c r="I38" s="962" t="str">
        <f>'Encoding Part 1'!L33&amp;" "&amp;'Encoding Part 1'!Q33&amp;" "&amp;'Encoding Part 1'!G33</f>
        <v>NICKJON C. BABATU-ON</v>
      </c>
      <c r="J38" s="962"/>
      <c r="K38" s="962"/>
    </row>
    <row r="39" spans="1:11" ht="18" customHeight="1">
      <c r="A39" s="960" t="str">
        <f>C5</f>
        <v>Teacher III</v>
      </c>
      <c r="B39" s="960"/>
      <c r="C39" s="960"/>
      <c r="D39" s="960" t="str">
        <f>H5</f>
        <v>Master Teacher I</v>
      </c>
      <c r="E39" s="960"/>
      <c r="F39" s="960"/>
      <c r="G39" s="960"/>
      <c r="H39" s="960"/>
      <c r="I39" s="962" t="str">
        <f>'Encoding Part 1'!G34</f>
        <v>Assistant School Principal II</v>
      </c>
      <c r="J39" s="962"/>
      <c r="K39" s="962"/>
    </row>
    <row r="40" spans="1:11" ht="18" customHeight="1">
      <c r="A40" s="961">
        <f>H6</f>
        <v>46112</v>
      </c>
      <c r="B40" s="960"/>
      <c r="C40" s="960"/>
      <c r="D40" s="961">
        <f>H6</f>
        <v>46112</v>
      </c>
      <c r="E40" s="960"/>
      <c r="F40" s="960"/>
      <c r="G40" s="960"/>
      <c r="H40" s="960"/>
      <c r="I40" s="1003">
        <f>H6</f>
        <v>46112</v>
      </c>
      <c r="J40" s="962"/>
      <c r="K40" s="962"/>
    </row>
    <row r="41" spans="1:11" ht="15.45" customHeight="1">
      <c r="A41" s="377"/>
      <c r="B41" s="377"/>
      <c r="C41" s="377"/>
      <c r="D41" s="377"/>
      <c r="E41" s="377"/>
      <c r="F41" s="377"/>
      <c r="G41" s="377"/>
      <c r="H41" s="377"/>
      <c r="I41" s="377"/>
      <c r="J41" s="377"/>
      <c r="K41" s="377"/>
    </row>
  </sheetData>
  <sheetProtection algorithmName="SHA-512" hashValue="tLdr610b1wTf2+KdgpRwarfNkQYLFBM0EPnPy7ax6oPSWS5oKY87W/MXxB2+gVI/7As59h6lacvQ5Y7BQ0hoxg==" saltValue="luSrAvvdSmbINjh0Hr0ABA==" spinCount="100000" sheet="1" objects="1" scenarios="1"/>
  <mergeCells count="46">
    <mergeCell ref="A1:K1"/>
    <mergeCell ref="A2:K2"/>
    <mergeCell ref="C4:E4"/>
    <mergeCell ref="F4:G4"/>
    <mergeCell ref="H4:K4"/>
    <mergeCell ref="C5:E5"/>
    <mergeCell ref="C6:E6"/>
    <mergeCell ref="F5:G5"/>
    <mergeCell ref="F6:G6"/>
    <mergeCell ref="H5:K5"/>
    <mergeCell ref="H6:K6"/>
    <mergeCell ref="C7:E7"/>
    <mergeCell ref="B9:K9"/>
    <mergeCell ref="B12:B13"/>
    <mergeCell ref="C12:C13"/>
    <mergeCell ref="D12:D13"/>
    <mergeCell ref="E12:I12"/>
    <mergeCell ref="J12:J13"/>
    <mergeCell ref="K12:K13"/>
    <mergeCell ref="F7:G7"/>
    <mergeCell ref="H7:K7"/>
    <mergeCell ref="B14:B16"/>
    <mergeCell ref="B17:B18"/>
    <mergeCell ref="B20:B22"/>
    <mergeCell ref="B23:B25"/>
    <mergeCell ref="B26:B27"/>
    <mergeCell ref="J31:K31"/>
    <mergeCell ref="J32:K32"/>
    <mergeCell ref="G31:I31"/>
    <mergeCell ref="G32:I32"/>
    <mergeCell ref="B31:F32"/>
    <mergeCell ref="J28:K28"/>
    <mergeCell ref="H29:I29"/>
    <mergeCell ref="J29:K29"/>
    <mergeCell ref="H30:I30"/>
    <mergeCell ref="J30:K30"/>
    <mergeCell ref="H28:I28"/>
    <mergeCell ref="A40:C40"/>
    <mergeCell ref="D40:H40"/>
    <mergeCell ref="I40:K40"/>
    <mergeCell ref="A38:C38"/>
    <mergeCell ref="D38:H38"/>
    <mergeCell ref="I38:K38"/>
    <mergeCell ref="A39:C39"/>
    <mergeCell ref="D39:H39"/>
    <mergeCell ref="I39:K39"/>
  </mergeCells>
  <conditionalFormatting sqref="B31 J31:K32 G31:G32">
    <cfRule type="expression" dxfId="15" priority="2">
      <formula>career_stage="P"</formula>
    </cfRule>
    <cfRule type="expression" dxfId="14" priority="3">
      <formula>career_stage="HP"</formula>
    </cfRule>
  </conditionalFormatting>
  <conditionalFormatting sqref="B14 B17 B19:B20 B23 B26">
    <cfRule type="expression" dxfId="13" priority="1">
      <formula>#REF!</formula>
    </cfRule>
  </conditionalFormatting>
  <printOptions horizontalCentered="1"/>
  <pageMargins left="0.5" right="0.5" top="0.7" bottom="0.5" header="0" footer="0.3"/>
  <pageSetup paperSize="9" scale="61" fitToHeight="0" orientation="portrait" r:id="rId1"/>
  <headerFooter>
    <oddHeader>&amp;C&amp;"Calibri,Regular"&amp;K000000&amp;G</oddHeader>
    <oddFooter>Page &amp;P of &amp;N</odd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F5FCF-A0D3-4AE7-8C61-7B138AEB657D}">
  <sheetPr codeName="PART4">
    <pageSetUpPr fitToPage="1"/>
  </sheetPr>
  <dimension ref="A1:K41"/>
  <sheetViews>
    <sheetView showGridLines="0" zoomScale="90" zoomScaleNormal="90" zoomScaleSheetLayoutView="100" workbookViewId="0">
      <selection activeCell="C4" sqref="C4:E4"/>
    </sheetView>
  </sheetViews>
  <sheetFormatPr defaultColWidth="9.6640625" defaultRowHeight="15.45" customHeight="1"/>
  <cols>
    <col min="1" max="1" width="3.21875" style="332" customWidth="1"/>
    <col min="2" max="2" width="22.33203125" style="332" customWidth="1"/>
    <col min="3" max="3" width="27.33203125" style="332" customWidth="1"/>
    <col min="4" max="4" width="16.21875" style="332" customWidth="1"/>
    <col min="5" max="5" width="11.88671875" style="332" bestFit="1" customWidth="1"/>
    <col min="6" max="6" width="11.88671875" style="332" customWidth="1"/>
    <col min="7" max="7" width="11.88671875" style="332" bestFit="1" customWidth="1"/>
    <col min="8" max="8" width="9.6640625" style="332"/>
    <col min="9" max="10" width="13.6640625" style="332" customWidth="1"/>
    <col min="11" max="11" width="25.88671875" style="332" customWidth="1"/>
    <col min="12" max="16384" width="9.6640625" style="332"/>
  </cols>
  <sheetData>
    <row r="1" spans="1:11" ht="36" customHeight="1">
      <c r="A1" s="935" t="str">
        <f>HOME!A1</f>
        <v>OFFICIAL ELECTRONIC IPCRF TOOL
 SY 2025-2026</v>
      </c>
      <c r="B1" s="936"/>
      <c r="C1" s="936"/>
      <c r="D1" s="936"/>
      <c r="E1" s="936"/>
      <c r="F1" s="936"/>
      <c r="G1" s="936"/>
      <c r="H1" s="936"/>
      <c r="I1" s="936"/>
      <c r="J1" s="936"/>
      <c r="K1" s="936"/>
    </row>
    <row r="2" spans="1:11" ht="19.05" customHeight="1">
      <c r="A2" s="937" t="str">
        <f>HOME!E17&amp;" Teacher"</f>
        <v>Beginning towards Proficient Teacher</v>
      </c>
      <c r="B2" s="937"/>
      <c r="C2" s="937"/>
      <c r="D2" s="937"/>
      <c r="E2" s="937"/>
      <c r="F2" s="937"/>
      <c r="G2" s="937"/>
      <c r="H2" s="937"/>
      <c r="I2" s="937"/>
      <c r="J2" s="937"/>
      <c r="K2" s="937"/>
    </row>
    <row r="3" spans="1:11" ht="9" customHeight="1">
      <c r="B3" s="333"/>
      <c r="C3" s="333"/>
      <c r="D3" s="333"/>
      <c r="E3" s="333"/>
      <c r="F3" s="333"/>
      <c r="G3" s="333"/>
      <c r="H3" s="333"/>
      <c r="I3" s="333"/>
      <c r="J3" s="333"/>
      <c r="K3" s="333"/>
    </row>
    <row r="4" spans="1:11" ht="18.45" customHeight="1">
      <c r="B4" s="395" t="s">
        <v>128</v>
      </c>
      <c r="C4" s="938" t="str">
        <f>'PART 1-D'!C2</f>
        <v>EJONIE G. DEGOLLACION</v>
      </c>
      <c r="D4" s="938"/>
      <c r="E4" s="939"/>
      <c r="F4" s="396" t="s">
        <v>129</v>
      </c>
      <c r="G4" s="397"/>
      <c r="H4" s="938" t="str">
        <f>'PART 1-D'!J2</f>
        <v>GLORIFEL B. SAREÑO</v>
      </c>
      <c r="I4" s="938"/>
      <c r="J4" s="938"/>
      <c r="K4" s="939"/>
    </row>
    <row r="5" spans="1:11" ht="18.45" customHeight="1">
      <c r="B5" s="398" t="s">
        <v>0</v>
      </c>
      <c r="C5" s="985" t="str">
        <f>'PART 1-D'!C3</f>
        <v>Teacher III</v>
      </c>
      <c r="D5" s="985"/>
      <c r="E5" s="986"/>
      <c r="F5" s="399" t="s">
        <v>0</v>
      </c>
      <c r="G5" s="400"/>
      <c r="H5" s="985" t="str">
        <f>'PART 1-D'!J3</f>
        <v>Master Teacher I</v>
      </c>
      <c r="I5" s="985"/>
      <c r="J5" s="985"/>
      <c r="K5" s="986"/>
    </row>
    <row r="6" spans="1:11" ht="18.45" customHeight="1">
      <c r="B6" s="398" t="s">
        <v>165</v>
      </c>
      <c r="C6" s="987" t="str">
        <f>'PART 1-D'!C4</f>
        <v xml:space="preserve">Lapu-Lapu City </v>
      </c>
      <c r="D6" s="987"/>
      <c r="E6" s="988"/>
      <c r="F6" s="399" t="s">
        <v>1</v>
      </c>
      <c r="G6" s="400"/>
      <c r="H6" s="992">
        <f>'PART 1-D'!J4</f>
        <v>46112</v>
      </c>
      <c r="I6" s="992"/>
      <c r="J6" s="992"/>
      <c r="K6" s="993"/>
    </row>
    <row r="7" spans="1:11" ht="18.45" customHeight="1">
      <c r="B7" s="401" t="s">
        <v>130</v>
      </c>
      <c r="C7" s="947" t="str">
        <f>'PART 1-D'!C5</f>
        <v>SY 2025-2026</v>
      </c>
      <c r="D7" s="948"/>
      <c r="E7" s="949"/>
      <c r="F7" s="402"/>
      <c r="G7" s="403"/>
      <c r="H7" s="404"/>
      <c r="I7" s="405"/>
      <c r="J7" s="405"/>
      <c r="K7" s="406"/>
    </row>
    <row r="8" spans="1:11" ht="15.45" customHeight="1">
      <c r="B8" s="343"/>
      <c r="C8" s="343"/>
      <c r="D8" s="343"/>
      <c r="E8" s="343"/>
      <c r="F8" s="343"/>
      <c r="G8" s="343"/>
      <c r="H8" s="343"/>
      <c r="I8" s="343"/>
      <c r="J8" s="343"/>
      <c r="K8" s="343"/>
    </row>
    <row r="9" spans="1:11" s="344" customFormat="1" ht="15.45" customHeight="1">
      <c r="B9" s="950" t="s">
        <v>131</v>
      </c>
      <c r="C9" s="950"/>
      <c r="D9" s="950"/>
      <c r="E9" s="950"/>
      <c r="F9" s="950"/>
      <c r="G9" s="950"/>
      <c r="H9" s="950"/>
      <c r="I9" s="950"/>
      <c r="J9" s="950"/>
      <c r="K9" s="950"/>
    </row>
    <row r="10" spans="1:11" ht="15.45" customHeight="1" thickBot="1">
      <c r="B10" s="345"/>
      <c r="C10" s="345"/>
      <c r="D10" s="345"/>
      <c r="E10" s="345"/>
      <c r="F10" s="345"/>
      <c r="G10" s="345"/>
      <c r="H10" s="345"/>
      <c r="I10" s="345"/>
      <c r="J10" s="345"/>
      <c r="K10" s="345"/>
    </row>
    <row r="11" spans="1:11" ht="25.5" customHeight="1">
      <c r="B11" s="346" t="s">
        <v>162</v>
      </c>
      <c r="C11" s="347"/>
      <c r="D11" s="348">
        <v>0.95</v>
      </c>
      <c r="E11" s="347"/>
      <c r="F11" s="347"/>
      <c r="G11" s="347"/>
      <c r="H11" s="347"/>
      <c r="I11" s="347"/>
      <c r="J11" s="347"/>
      <c r="K11" s="349"/>
    </row>
    <row r="12" spans="1:11" ht="25.5" customHeight="1">
      <c r="B12" s="951" t="s">
        <v>132</v>
      </c>
      <c r="C12" s="953" t="s">
        <v>1256</v>
      </c>
      <c r="D12" s="955" t="s">
        <v>133</v>
      </c>
      <c r="E12" s="957" t="s">
        <v>134</v>
      </c>
      <c r="F12" s="957"/>
      <c r="G12" s="957"/>
      <c r="H12" s="957"/>
      <c r="I12" s="957"/>
      <c r="J12" s="983" t="s">
        <v>135</v>
      </c>
      <c r="K12" s="945" t="s">
        <v>136</v>
      </c>
    </row>
    <row r="13" spans="1:11" ht="25.5" customHeight="1" thickBot="1">
      <c r="B13" s="952"/>
      <c r="C13" s="954"/>
      <c r="D13" s="956"/>
      <c r="E13" s="350" t="s">
        <v>1385</v>
      </c>
      <c r="F13" s="350" t="s">
        <v>1386</v>
      </c>
      <c r="G13" s="350" t="s">
        <v>138</v>
      </c>
      <c r="H13" s="350" t="s">
        <v>139</v>
      </c>
      <c r="I13" s="350" t="s">
        <v>140</v>
      </c>
      <c r="J13" s="984"/>
      <c r="K13" s="946"/>
    </row>
    <row r="14" spans="1:11" ht="25.5" customHeight="1">
      <c r="B14" s="944" t="s">
        <v>145</v>
      </c>
      <c r="C14" s="352" t="s">
        <v>1613</v>
      </c>
      <c r="D14" s="353">
        <v>6.7857142859999997E-2</v>
      </c>
      <c r="E14" s="354">
        <f ca="1">'Encoding Part 1'!I14</f>
        <v>5</v>
      </c>
      <c r="F14" s="355"/>
      <c r="G14" s="356"/>
      <c r="H14" s="356"/>
      <c r="I14" s="357">
        <f ca="1">'Encoding Part 1'!M14</f>
        <v>5</v>
      </c>
      <c r="J14" s="357">
        <f ca="1">'Encoding Part 1'!N14</f>
        <v>0.33928999999999998</v>
      </c>
      <c r="K14" s="358" t="str">
        <f ca="1">'Encoding Part 1'!O14</f>
        <v>Outstanding</v>
      </c>
    </row>
    <row r="15" spans="1:11" ht="25.5" customHeight="1">
      <c r="B15" s="944"/>
      <c r="C15" s="359" t="s">
        <v>1614</v>
      </c>
      <c r="D15" s="360">
        <v>6.7857142859999997E-2</v>
      </c>
      <c r="E15" s="361">
        <f ca="1">'Encoding Part 1'!I15</f>
        <v>5</v>
      </c>
      <c r="F15" s="362"/>
      <c r="G15" s="362"/>
      <c r="H15" s="362"/>
      <c r="I15" s="363">
        <f ca="1">'Encoding Part 1'!M15</f>
        <v>5</v>
      </c>
      <c r="J15" s="363">
        <f ca="1">'Encoding Part 1'!N15</f>
        <v>0.33928999999999998</v>
      </c>
      <c r="K15" s="364" t="str">
        <f ca="1">'Encoding Part 1'!O15</f>
        <v>Outstanding</v>
      </c>
    </row>
    <row r="16" spans="1:11" ht="25.5" customHeight="1">
      <c r="B16" s="944"/>
      <c r="C16" s="359" t="s">
        <v>1615</v>
      </c>
      <c r="D16" s="360">
        <v>6.7857142859999997E-2</v>
      </c>
      <c r="E16" s="407">
        <f ca="1">'Encoding Part 1'!I16</f>
        <v>5</v>
      </c>
      <c r="F16" s="407">
        <f>'Encoding Part 1'!J16</f>
        <v>0</v>
      </c>
      <c r="G16" s="362"/>
      <c r="H16" s="362"/>
      <c r="I16" s="363">
        <f ca="1">'Encoding Part 1'!M16</f>
        <v>5</v>
      </c>
      <c r="J16" s="363">
        <f ca="1">'Encoding Part 1'!N16</f>
        <v>0.33928999999999998</v>
      </c>
      <c r="K16" s="364" t="str">
        <f ca="1">'Encoding Part 1'!O16</f>
        <v>Outstanding</v>
      </c>
    </row>
    <row r="17" spans="2:11" ht="25.5" customHeight="1">
      <c r="B17" s="944" t="s">
        <v>146</v>
      </c>
      <c r="C17" s="359" t="s">
        <v>1616</v>
      </c>
      <c r="D17" s="360">
        <v>6.7857142859999997E-2</v>
      </c>
      <c r="E17" s="407">
        <f ca="1">'Encoding Part 1'!I17</f>
        <v>5</v>
      </c>
      <c r="F17" s="407">
        <f>'Encoding Part 1'!J17</f>
        <v>0</v>
      </c>
      <c r="G17" s="362"/>
      <c r="H17" s="362"/>
      <c r="I17" s="363">
        <f ca="1">'Encoding Part 1'!M17</f>
        <v>5</v>
      </c>
      <c r="J17" s="363">
        <f ca="1">'Encoding Part 1'!N17</f>
        <v>0.33928999999999998</v>
      </c>
      <c r="K17" s="364" t="str">
        <f ca="1">'Encoding Part 1'!O17</f>
        <v>Outstanding</v>
      </c>
    </row>
    <row r="18" spans="2:11" ht="25.5" customHeight="1">
      <c r="B18" s="944"/>
      <c r="C18" s="359" t="s">
        <v>1617</v>
      </c>
      <c r="D18" s="360">
        <v>6.7857142859999997E-2</v>
      </c>
      <c r="E18" s="361">
        <f ca="1">'Encoding Part 1'!I18</f>
        <v>5</v>
      </c>
      <c r="F18" s="361">
        <f>'Encoding Part 1'!J18</f>
        <v>0</v>
      </c>
      <c r="G18" s="362"/>
      <c r="H18" s="362"/>
      <c r="I18" s="363">
        <f ca="1">'Encoding Part 1'!M18</f>
        <v>5</v>
      </c>
      <c r="J18" s="363">
        <f ca="1">'Encoding Part 1'!N18</f>
        <v>0.33928999999999998</v>
      </c>
      <c r="K18" s="364" t="str">
        <f ca="1">'Encoding Part 1'!O18</f>
        <v>Outstanding</v>
      </c>
    </row>
    <row r="19" spans="2:11" ht="25.5" customHeight="1">
      <c r="B19" s="351" t="s">
        <v>147</v>
      </c>
      <c r="C19" s="359" t="s">
        <v>1618</v>
      </c>
      <c r="D19" s="360">
        <v>6.7857142859999997E-2</v>
      </c>
      <c r="E19" s="361">
        <f ca="1">'Encoding Part 1'!I19</f>
        <v>4</v>
      </c>
      <c r="F19" s="361">
        <f>'Encoding Part 1'!J19</f>
        <v>0</v>
      </c>
      <c r="G19" s="362"/>
      <c r="H19" s="362"/>
      <c r="I19" s="363">
        <f ca="1">'Encoding Part 1'!M19</f>
        <v>4</v>
      </c>
      <c r="J19" s="363">
        <f ca="1">'Encoding Part 1'!N19</f>
        <v>0.27143</v>
      </c>
      <c r="K19" s="364" t="str">
        <f ca="1">'Encoding Part 1'!O19</f>
        <v>Very Satisfactory</v>
      </c>
    </row>
    <row r="20" spans="2:11" ht="25.5" customHeight="1">
      <c r="B20" s="944" t="s">
        <v>148</v>
      </c>
      <c r="C20" s="359" t="s">
        <v>1619</v>
      </c>
      <c r="D20" s="360">
        <v>6.7857142859999997E-2</v>
      </c>
      <c r="E20" s="361">
        <f ca="1">'Encoding Part 1'!I20</f>
        <v>5</v>
      </c>
      <c r="F20" s="361">
        <f>'Encoding Part 1'!J20</f>
        <v>0</v>
      </c>
      <c r="G20" s="362"/>
      <c r="H20" s="362"/>
      <c r="I20" s="363">
        <f ca="1">'Encoding Part 1'!M20</f>
        <v>5</v>
      </c>
      <c r="J20" s="363">
        <f ca="1">'Encoding Part 1'!N20</f>
        <v>0.33928999999999998</v>
      </c>
      <c r="K20" s="364" t="str">
        <f ca="1">'Encoding Part 1'!O20</f>
        <v>Outstanding</v>
      </c>
    </row>
    <row r="21" spans="2:11" ht="25.5" customHeight="1">
      <c r="B21" s="944"/>
      <c r="C21" s="359" t="s">
        <v>1620</v>
      </c>
      <c r="D21" s="360">
        <v>6.7857142859999997E-2</v>
      </c>
      <c r="E21" s="361">
        <f>'Encoding Part 1'!I21</f>
        <v>5</v>
      </c>
      <c r="F21" s="362"/>
      <c r="G21" s="362"/>
      <c r="H21" s="384">
        <f>'Encoding Part 1'!L21</f>
        <v>4</v>
      </c>
      <c r="I21" s="363">
        <f>'Encoding Part 1'!M21</f>
        <v>4.5</v>
      </c>
      <c r="J21" s="363">
        <f>'Encoding Part 1'!N21</f>
        <v>0.30536000000000002</v>
      </c>
      <c r="K21" s="364" t="str">
        <f>'Encoding Part 1'!O21</f>
        <v>Outstanding</v>
      </c>
    </row>
    <row r="22" spans="2:11" ht="25.5" customHeight="1">
      <c r="B22" s="944"/>
      <c r="C22" s="359" t="s">
        <v>1621</v>
      </c>
      <c r="D22" s="360">
        <v>6.7857142859999997E-2</v>
      </c>
      <c r="E22" s="361">
        <f ca="1">'Encoding Part 1'!I22</f>
        <v>5</v>
      </c>
      <c r="F22" s="361">
        <f>'Encoding Part 1'!J22</f>
        <v>0</v>
      </c>
      <c r="G22" s="362"/>
      <c r="H22" s="362"/>
      <c r="I22" s="363">
        <f ca="1">'Encoding Part 1'!M22</f>
        <v>5</v>
      </c>
      <c r="J22" s="363">
        <f ca="1">'Encoding Part 1'!N22</f>
        <v>0.33928999999999998</v>
      </c>
      <c r="K22" s="364" t="str">
        <f ca="1">'Encoding Part 1'!O22</f>
        <v>Outstanding</v>
      </c>
    </row>
    <row r="23" spans="2:11" ht="25.5" customHeight="1">
      <c r="B23" s="944" t="s">
        <v>149</v>
      </c>
      <c r="C23" s="359" t="s">
        <v>1622</v>
      </c>
      <c r="D23" s="360">
        <v>6.7857142859999997E-2</v>
      </c>
      <c r="E23" s="361">
        <f ca="1">'Encoding Part 1'!I23</f>
        <v>4</v>
      </c>
      <c r="F23" s="361">
        <f>'Encoding Part 1'!J23</f>
        <v>0</v>
      </c>
      <c r="G23" s="362"/>
      <c r="H23" s="362"/>
      <c r="I23" s="363">
        <f ca="1">'Encoding Part 1'!M23</f>
        <v>4</v>
      </c>
      <c r="J23" s="363">
        <f ca="1">'Encoding Part 1'!N23</f>
        <v>0.27143</v>
      </c>
      <c r="K23" s="364" t="str">
        <f ca="1">'Encoding Part 1'!O23</f>
        <v>Very Satisfactory</v>
      </c>
    </row>
    <row r="24" spans="2:11" ht="25.5" customHeight="1">
      <c r="B24" s="944"/>
      <c r="C24" s="359" t="s">
        <v>1623</v>
      </c>
      <c r="D24" s="360">
        <v>6.7857142859999997E-2</v>
      </c>
      <c r="E24" s="361">
        <f>'Encoding Part 1'!I24</f>
        <v>4</v>
      </c>
      <c r="F24" s="362"/>
      <c r="G24" s="362"/>
      <c r="H24" s="362"/>
      <c r="I24" s="363">
        <f>'Encoding Part 1'!M24</f>
        <v>4</v>
      </c>
      <c r="J24" s="363">
        <f>'Encoding Part 1'!N24</f>
        <v>0.27143</v>
      </c>
      <c r="K24" s="364" t="str">
        <f>'Encoding Part 1'!O24</f>
        <v>Very Satisfactory</v>
      </c>
    </row>
    <row r="25" spans="2:11" ht="25.5" customHeight="1">
      <c r="B25" s="944"/>
      <c r="C25" s="359" t="s">
        <v>1624</v>
      </c>
      <c r="D25" s="360">
        <v>6.7857142859999997E-2</v>
      </c>
      <c r="E25" s="361">
        <f>'Encoding Part 1'!I25</f>
        <v>5</v>
      </c>
      <c r="F25" s="362"/>
      <c r="G25" s="362"/>
      <c r="H25" s="362"/>
      <c r="I25" s="363">
        <f>'Encoding Part 1'!M25</f>
        <v>4.3333000000000004</v>
      </c>
      <c r="J25" s="363">
        <f>'Encoding Part 1'!N25</f>
        <v>0.29404999999999998</v>
      </c>
      <c r="K25" s="364" t="str">
        <f>'Encoding Part 1'!O25</f>
        <v>Very Satisfactory</v>
      </c>
    </row>
    <row r="26" spans="2:11" ht="25.5" customHeight="1">
      <c r="B26" s="944" t="s">
        <v>150</v>
      </c>
      <c r="C26" s="359" t="s">
        <v>1625</v>
      </c>
      <c r="D26" s="360">
        <v>6.7857142859999997E-2</v>
      </c>
      <c r="E26" s="361">
        <f>'Encoding Part 1'!I26</f>
        <v>4</v>
      </c>
      <c r="F26" s="362"/>
      <c r="G26" s="362"/>
      <c r="H26" s="362"/>
      <c r="I26" s="363">
        <f>'Encoding Part 1'!M26</f>
        <v>4</v>
      </c>
      <c r="J26" s="363">
        <f>'Encoding Part 1'!N26</f>
        <v>0.27143</v>
      </c>
      <c r="K26" s="364" t="str">
        <f>'Encoding Part 1'!O26</f>
        <v>Very Satisfactory</v>
      </c>
    </row>
    <row r="27" spans="2:11" ht="25.5" customHeight="1" thickBot="1">
      <c r="B27" s="1028"/>
      <c r="C27" s="365" t="s">
        <v>1626</v>
      </c>
      <c r="D27" s="366">
        <v>6.7857142859999997E-2</v>
      </c>
      <c r="E27" s="367">
        <f>'Encoding Part 1'!I27</f>
        <v>5</v>
      </c>
      <c r="F27" s="385"/>
      <c r="G27" s="362"/>
      <c r="H27" s="362"/>
      <c r="I27" s="363">
        <f>'Encoding Part 1'!M27</f>
        <v>4.3333000000000004</v>
      </c>
      <c r="J27" s="363">
        <f>'Encoding Part 1'!N27</f>
        <v>0.29404999999999998</v>
      </c>
      <c r="K27" s="369" t="str">
        <f>'Encoding Part 1'!O27</f>
        <v>Very Satisfactory</v>
      </c>
    </row>
    <row r="28" spans="2:11" ht="25.5" customHeight="1">
      <c r="B28" s="386" t="s">
        <v>162</v>
      </c>
      <c r="C28" s="387"/>
      <c r="D28" s="372"/>
      <c r="E28" s="372">
        <v>0.95</v>
      </c>
      <c r="F28" s="372"/>
      <c r="G28" s="371"/>
      <c r="H28" s="1013">
        <f ca="1">ROUND((AVERAGE(I14:I27)),3)</f>
        <v>4.5830000000000002</v>
      </c>
      <c r="I28" s="1005"/>
      <c r="J28" s="1004">
        <f ca="1">ROUND(SUM(J14:J27),4)</f>
        <v>4.3541999999999996</v>
      </c>
      <c r="K28" s="1005"/>
    </row>
    <row r="29" spans="2:11" ht="25.5" customHeight="1">
      <c r="B29" s="388" t="s">
        <v>163</v>
      </c>
      <c r="C29" s="389"/>
      <c r="D29" s="390"/>
      <c r="E29" s="390">
        <v>2.5000000000000001E-2</v>
      </c>
      <c r="F29" s="390"/>
      <c r="G29" s="391"/>
      <c r="H29" s="1006">
        <f>'Part 2-A'!N60</f>
        <v>4.4290000000000003</v>
      </c>
      <c r="I29" s="1007"/>
      <c r="J29" s="1008">
        <f>H29*0.025</f>
        <v>0.11072500000000002</v>
      </c>
      <c r="K29" s="1009"/>
    </row>
    <row r="30" spans="2:11" ht="25.5" customHeight="1" thickBot="1">
      <c r="B30" s="392" t="s">
        <v>164</v>
      </c>
      <c r="C30" s="393"/>
      <c r="D30" s="394"/>
      <c r="E30" s="394">
        <v>2.5000000000000001E-2</v>
      </c>
      <c r="F30" s="394"/>
      <c r="G30" s="379"/>
      <c r="H30" s="1010" t="str">
        <f>'Part 2-B'!E25</f>
        <v/>
      </c>
      <c r="I30" s="1011"/>
      <c r="J30" s="1012" t="e">
        <f>H30*0.025</f>
        <v>#VALUE!</v>
      </c>
      <c r="K30" s="1011"/>
    </row>
    <row r="31" spans="2:11" ht="25.95" customHeight="1">
      <c r="B31" s="1060" t="s">
        <v>1318</v>
      </c>
      <c r="C31" s="1061"/>
      <c r="D31" s="1061"/>
      <c r="E31" s="1061"/>
      <c r="F31" s="1061"/>
      <c r="G31" s="1052" t="s">
        <v>1025</v>
      </c>
      <c r="H31" s="1053"/>
      <c r="I31" s="1054"/>
      <c r="J31" s="1048" t="e">
        <f ca="1">J28+J29+J30</f>
        <v>#VALUE!</v>
      </c>
      <c r="K31" s="1049"/>
    </row>
    <row r="32" spans="2:11" ht="25.95" customHeight="1" thickBot="1">
      <c r="B32" s="1062"/>
      <c r="C32" s="1063"/>
      <c r="D32" s="1063"/>
      <c r="E32" s="1063"/>
      <c r="F32" s="1063"/>
      <c r="G32" s="1055" t="s">
        <v>1498</v>
      </c>
      <c r="H32" s="1056"/>
      <c r="I32" s="1057"/>
      <c r="J32" s="1050" t="e">
        <f ca="1">VLOOKUP(J31,adjectivalrating,2)</f>
        <v>#VALUE!</v>
      </c>
      <c r="K32" s="1051"/>
    </row>
    <row r="34" spans="1:11" ht="15.45" hidden="1" customHeight="1"/>
    <row r="36" spans="1:11" ht="18" customHeight="1">
      <c r="A36" s="376" t="s">
        <v>8</v>
      </c>
      <c r="B36" s="377"/>
      <c r="C36" s="377"/>
      <c r="D36" s="376" t="s">
        <v>9</v>
      </c>
      <c r="E36" s="376"/>
      <c r="F36" s="376"/>
      <c r="G36" s="377"/>
      <c r="H36" s="377"/>
      <c r="I36" s="376" t="s">
        <v>10</v>
      </c>
      <c r="J36" s="378"/>
      <c r="K36" s="378"/>
    </row>
    <row r="37" spans="1:11" ht="18" customHeight="1">
      <c r="A37" s="376"/>
      <c r="B37" s="377"/>
      <c r="C37" s="377"/>
      <c r="D37" s="376"/>
      <c r="E37" s="376"/>
      <c r="F37" s="376"/>
      <c r="G37" s="377"/>
      <c r="H37" s="377"/>
      <c r="I37" s="376"/>
      <c r="J37" s="378"/>
      <c r="K37" s="378"/>
    </row>
    <row r="38" spans="1:11" ht="18" customHeight="1">
      <c r="A38" s="960" t="str">
        <f>C4</f>
        <v>EJONIE G. DEGOLLACION</v>
      </c>
      <c r="B38" s="960"/>
      <c r="C38" s="960"/>
      <c r="D38" s="960" t="str">
        <f>H4</f>
        <v>GLORIFEL B. SAREÑO</v>
      </c>
      <c r="E38" s="960"/>
      <c r="F38" s="960"/>
      <c r="G38" s="960"/>
      <c r="H38" s="960"/>
      <c r="I38" s="962" t="str">
        <f>'Encoding Part 1'!L33&amp;" "&amp;'Encoding Part 1'!Q33&amp;" "&amp;'Encoding Part 1'!G33</f>
        <v>NICKJON C. BABATU-ON</v>
      </c>
      <c r="J38" s="962"/>
      <c r="K38" s="962"/>
    </row>
    <row r="39" spans="1:11" ht="18" customHeight="1">
      <c r="A39" s="1058" t="str">
        <f>C5</f>
        <v>Teacher III</v>
      </c>
      <c r="B39" s="1058"/>
      <c r="C39" s="1058"/>
      <c r="D39" s="1058" t="str">
        <f>H5</f>
        <v>Master Teacher I</v>
      </c>
      <c r="E39" s="1058"/>
      <c r="F39" s="1058"/>
      <c r="G39" s="1058"/>
      <c r="H39" s="1058"/>
      <c r="I39" s="1058" t="str">
        <f>'Encoding Part 1'!G34</f>
        <v>Assistant School Principal II</v>
      </c>
      <c r="J39" s="1058"/>
      <c r="K39" s="1058"/>
    </row>
    <row r="40" spans="1:11" ht="18" customHeight="1">
      <c r="A40" s="1059">
        <f>H6</f>
        <v>46112</v>
      </c>
      <c r="B40" s="1058"/>
      <c r="C40" s="1058"/>
      <c r="D40" s="1059">
        <f>H6</f>
        <v>46112</v>
      </c>
      <c r="E40" s="1058"/>
      <c r="F40" s="1058"/>
      <c r="G40" s="1058"/>
      <c r="H40" s="1058"/>
      <c r="I40" s="1059">
        <f>H6</f>
        <v>46112</v>
      </c>
      <c r="J40" s="1058"/>
      <c r="K40" s="1058"/>
    </row>
    <row r="41" spans="1:11" ht="15.45" customHeight="1">
      <c r="A41" s="377"/>
      <c r="B41" s="377"/>
      <c r="C41" s="377"/>
      <c r="D41" s="377"/>
      <c r="E41" s="377"/>
      <c r="F41" s="377"/>
      <c r="G41" s="377"/>
      <c r="H41" s="377"/>
      <c r="I41" s="377"/>
      <c r="J41" s="377"/>
      <c r="K41" s="377"/>
    </row>
  </sheetData>
  <sheetProtection algorithmName="SHA-512" hashValue="wiSk7XfrZ4fIFZGT/P0gjoMWz5mUVFR26Jb55RVjvKNRTF+FslxLtvzzOuNo1qN2CFCdGBa0cwfIKdICZNS5Yw==" saltValue="iBudw416gjNksuxLFmxevQ==" spinCount="100000" sheet="1" objects="1" scenarios="1"/>
  <mergeCells count="41">
    <mergeCell ref="B31:F32"/>
    <mergeCell ref="A39:C39"/>
    <mergeCell ref="A40:C40"/>
    <mergeCell ref="D39:H39"/>
    <mergeCell ref="D40:H40"/>
    <mergeCell ref="I39:K39"/>
    <mergeCell ref="I40:K40"/>
    <mergeCell ref="A38:C38"/>
    <mergeCell ref="D38:H38"/>
    <mergeCell ref="I38:K38"/>
    <mergeCell ref="J28:K28"/>
    <mergeCell ref="H29:I29"/>
    <mergeCell ref="J29:K29"/>
    <mergeCell ref="J31:K31"/>
    <mergeCell ref="J32:K32"/>
    <mergeCell ref="H28:I28"/>
    <mergeCell ref="H30:I30"/>
    <mergeCell ref="J30:K30"/>
    <mergeCell ref="G31:I31"/>
    <mergeCell ref="G32:I32"/>
    <mergeCell ref="B14:B16"/>
    <mergeCell ref="B17:B18"/>
    <mergeCell ref="B20:B22"/>
    <mergeCell ref="B23:B25"/>
    <mergeCell ref="B26:B27"/>
    <mergeCell ref="C7:E7"/>
    <mergeCell ref="B9:K9"/>
    <mergeCell ref="B12:B13"/>
    <mergeCell ref="C12:C13"/>
    <mergeCell ref="D12:D13"/>
    <mergeCell ref="E12:I12"/>
    <mergeCell ref="J12:J13"/>
    <mergeCell ref="K12:K13"/>
    <mergeCell ref="C5:E5"/>
    <mergeCell ref="C6:E6"/>
    <mergeCell ref="A1:K1"/>
    <mergeCell ref="A2:K2"/>
    <mergeCell ref="C4:E4"/>
    <mergeCell ref="H4:K4"/>
    <mergeCell ref="H5:K5"/>
    <mergeCell ref="H6:K6"/>
  </mergeCells>
  <conditionalFormatting sqref="B31 J31:K32 G31:G32">
    <cfRule type="expression" dxfId="12" priority="2">
      <formula>career_stage="P"</formula>
    </cfRule>
    <cfRule type="expression" dxfId="11" priority="3">
      <formula>career_stage="HP"</formula>
    </cfRule>
  </conditionalFormatting>
  <conditionalFormatting sqref="B14 B17 B19:B20 B23 B26">
    <cfRule type="expression" dxfId="10" priority="1">
      <formula>#REF!</formula>
    </cfRule>
  </conditionalFormatting>
  <printOptions horizontalCentered="1"/>
  <pageMargins left="0.5" right="0.5" top="0.7" bottom="0.5" header="0" footer="0.3"/>
  <pageSetup paperSize="9" scale="61" fitToHeight="0" orientation="portrait" r:id="rId1"/>
  <headerFooter>
    <oddHeader>&amp;C&amp;"Calibri,Regular"&amp;K000000&amp;G</oddHeader>
    <oddFooter>Page &amp;P of &amp;N</oddFooter>
  </headerFooter>
  <drawing r:id="rId2"/>
  <legacyDrawingHF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9C9F-7B94-43D9-A7CC-D0A6B0C14B0C}">
  <sheetPr codeName="PART7">
    <pageSetUpPr fitToPage="1"/>
  </sheetPr>
  <dimension ref="A1:W52"/>
  <sheetViews>
    <sheetView showGridLines="0" zoomScale="90" zoomScaleNormal="90" workbookViewId="0">
      <selection activeCell="C9" sqref="C9"/>
    </sheetView>
  </sheetViews>
  <sheetFormatPr defaultColWidth="9.6640625" defaultRowHeight="14.4"/>
  <cols>
    <col min="1" max="1" width="8.44140625" style="4" customWidth="1"/>
    <col min="2" max="2" width="26.44140625" style="4" customWidth="1"/>
    <col min="3" max="3" width="8.77734375" style="4" customWidth="1"/>
    <col min="4" max="4" width="26.44140625" style="4" customWidth="1"/>
    <col min="5" max="6" width="27.33203125" style="4" customWidth="1"/>
    <col min="7" max="7" width="19.88671875" style="4" customWidth="1"/>
    <col min="8" max="8" width="29.5546875" style="4" customWidth="1"/>
    <col min="9" max="9" width="9.6640625" style="4"/>
    <col min="10" max="10" width="7.109375" style="4" hidden="1" customWidth="1"/>
    <col min="11" max="11" width="9.6640625" style="422" hidden="1" customWidth="1"/>
    <col min="12" max="15" width="9.6640625" style="4" hidden="1" customWidth="1"/>
    <col min="16" max="16" width="9.6640625" style="423" hidden="1" customWidth="1"/>
    <col min="17" max="17" width="9.6640625" style="4" hidden="1" customWidth="1"/>
    <col min="18" max="18" width="9.6640625" style="5" hidden="1" customWidth="1"/>
    <col min="19" max="23" width="9.6640625" style="4" hidden="1" customWidth="1"/>
    <col min="24" max="16384" width="9.6640625" style="4"/>
  </cols>
  <sheetData>
    <row r="1" spans="1:23" ht="18">
      <c r="A1" s="1081" t="s">
        <v>166</v>
      </c>
      <c r="B1" s="1082"/>
      <c r="C1" s="1082"/>
      <c r="D1" s="1082"/>
      <c r="E1" s="1082"/>
      <c r="F1" s="1082"/>
      <c r="G1" s="1082"/>
      <c r="H1" s="1083"/>
    </row>
    <row r="2" spans="1:23" ht="126.45" customHeight="1" thickBot="1">
      <c r="A2" s="424"/>
      <c r="B2" s="425"/>
      <c r="C2" s="425"/>
      <c r="D2" s="425"/>
      <c r="E2" s="425"/>
      <c r="F2" s="425"/>
      <c r="G2" s="425"/>
      <c r="H2" s="426"/>
    </row>
    <row r="3" spans="1:23" ht="15" customHeight="1">
      <c r="A3" s="1088" t="s">
        <v>167</v>
      </c>
      <c r="B3" s="1089"/>
      <c r="C3" s="1094" t="s">
        <v>168</v>
      </c>
      <c r="D3" s="1089"/>
      <c r="E3" s="1084" t="s">
        <v>169</v>
      </c>
      <c r="F3" s="1084"/>
      <c r="G3" s="1084" t="s">
        <v>4</v>
      </c>
      <c r="H3" s="1086" t="s">
        <v>170</v>
      </c>
      <c r="J3" s="427"/>
      <c r="K3" s="428"/>
      <c r="L3" s="427"/>
      <c r="M3" s="427"/>
      <c r="N3" s="427"/>
      <c r="O3" s="427"/>
      <c r="P3" s="429"/>
      <c r="Q3" s="427"/>
      <c r="R3" s="430"/>
      <c r="S3" s="427"/>
      <c r="T3" s="427"/>
      <c r="U3" s="427"/>
      <c r="V3" s="427"/>
      <c r="W3" s="427"/>
    </row>
    <row r="4" spans="1:23" ht="19.95" customHeight="1">
      <c r="A4" s="1090"/>
      <c r="B4" s="1091"/>
      <c r="C4" s="1095"/>
      <c r="D4" s="1091"/>
      <c r="E4" s="1085" t="s">
        <v>171</v>
      </c>
      <c r="F4" s="1085"/>
      <c r="G4" s="1085"/>
      <c r="H4" s="1087"/>
      <c r="J4" s="427"/>
      <c r="K4" s="428"/>
      <c r="L4" s="427"/>
      <c r="M4" s="427"/>
      <c r="N4" s="427"/>
      <c r="O4" s="427"/>
      <c r="P4" s="429"/>
      <c r="Q4" s="427"/>
      <c r="R4" s="430"/>
      <c r="S4" s="427"/>
      <c r="T4" s="427"/>
      <c r="U4" s="427"/>
      <c r="V4" s="427"/>
      <c r="W4" s="427"/>
    </row>
    <row r="5" spans="1:23" ht="15.6">
      <c r="A5" s="1092"/>
      <c r="B5" s="1093"/>
      <c r="C5" s="1096"/>
      <c r="D5" s="1093"/>
      <c r="E5" s="431" t="s">
        <v>173</v>
      </c>
      <c r="F5" s="431" t="s">
        <v>174</v>
      </c>
      <c r="G5" s="1085"/>
      <c r="H5" s="1087"/>
      <c r="J5" s="427"/>
      <c r="K5" s="428"/>
      <c r="L5" s="430"/>
      <c r="M5" s="430"/>
      <c r="N5" s="430"/>
      <c r="O5" s="430"/>
      <c r="P5" s="432"/>
      <c r="Q5" s="430"/>
      <c r="R5" s="430"/>
      <c r="S5" s="427"/>
      <c r="T5" s="433"/>
      <c r="U5" s="427"/>
      <c r="V5" s="427"/>
      <c r="W5" s="427"/>
    </row>
    <row r="6" spans="1:23" ht="15.6">
      <c r="A6" s="1071" t="s">
        <v>1512</v>
      </c>
      <c r="B6" s="1072"/>
      <c r="C6" s="1072"/>
      <c r="D6" s="1073"/>
      <c r="E6" s="1073"/>
      <c r="F6" s="1073"/>
      <c r="G6" s="1073"/>
      <c r="H6" s="1074"/>
      <c r="J6" s="434" t="s">
        <v>1513</v>
      </c>
      <c r="K6" s="435" t="s">
        <v>135</v>
      </c>
      <c r="L6" s="436"/>
      <c r="M6" s="436"/>
      <c r="N6" s="436" t="str">
        <f>VLOOKUP(selected_career_stage,N7:O10,2,0)</f>
        <v>P</v>
      </c>
      <c r="O6" s="436"/>
      <c r="P6" s="437"/>
      <c r="Q6" s="436"/>
      <c r="R6" s="436"/>
      <c r="S6" s="427"/>
      <c r="T6" s="427"/>
      <c r="U6" s="427"/>
      <c r="V6" s="427"/>
      <c r="W6" s="427"/>
    </row>
    <row r="7" spans="1:23" ht="96.6">
      <c r="A7" s="438" t="str" cm="1">
        <f t="array" aca="1" ref="A7:A9" ca="1">INDEX(_xlfn.SORTBY(J7:K20, K7:K20,-1),_xlfn.SEQUENCE(3),1)</f>
        <v>1.1.2</v>
      </c>
      <c r="B7" s="439" t="str">
        <f ca="1">VLOOKUP(A7,INDIRECT($N$6&amp;"indicators"),2,0)</f>
        <v>Applied knowledge of content within and across curriculum teaching areas</v>
      </c>
      <c r="C7" s="440" t="str" cm="1">
        <f t="array" aca="1" ref="C7:C9" ca="1">INDEX(_xlfn.SORTBY(J7:K20, K7:K20,1),_xlfn.SEQUENCE(3),1)</f>
        <v>3.1.2</v>
      </c>
      <c r="D7" s="441" t="str">
        <f ca="1">VLOOKUP(C7,INDIRECT($N$6&amp;"indicators"),2,0)</f>
        <v>Used differentiated, developmentally appropriate learning experiences to address learners’ gender, needs, strengths, interests and experiences</v>
      </c>
      <c r="E7" s="506" t="s">
        <v>1675</v>
      </c>
      <c r="F7" s="506" t="s">
        <v>1676</v>
      </c>
      <c r="G7" s="507" t="s">
        <v>1677</v>
      </c>
      <c r="H7" s="508" t="s">
        <v>1678</v>
      </c>
      <c r="I7" s="442"/>
      <c r="J7" s="436" t="str">
        <f>'Encoding Part 1'!B14</f>
        <v>1.1.2</v>
      </c>
      <c r="K7" s="443">
        <f ca="1">'Encoding Part 1'!N14</f>
        <v>0.33928999999999998</v>
      </c>
      <c r="L7" s="436"/>
      <c r="M7" s="436"/>
      <c r="N7" s="444" t="s">
        <v>798</v>
      </c>
      <c r="O7" s="445" t="s">
        <v>817</v>
      </c>
      <c r="P7" s="437"/>
      <c r="Q7" s="436"/>
      <c r="R7" s="436"/>
      <c r="S7" s="427"/>
      <c r="T7" s="446"/>
      <c r="U7" s="446"/>
      <c r="V7" s="446"/>
      <c r="W7" s="446"/>
    </row>
    <row r="8" spans="1:23" ht="96.6">
      <c r="A8" s="438" t="str">
        <f ca="1"/>
        <v>1.4.2</v>
      </c>
      <c r="B8" s="439" t="str">
        <f t="shared" ref="B8:D9" ca="1" si="0">VLOOKUP(A8,INDIRECT($N$6&amp;"indicators"),2,0)</f>
        <v>Used a range of teaching strategies that enhance learner achievement in literacy and numeracy skills</v>
      </c>
      <c r="C8" s="440" t="str">
        <f ca="1"/>
        <v>5.1.2</v>
      </c>
      <c r="D8" s="441" t="str">
        <f t="shared" ca="1" si="0"/>
        <v>Designed, selected, organized and used diagnostic, formative and summative assessment strategies consistent with curriculum requirements</v>
      </c>
      <c r="E8" s="506" t="s">
        <v>1679</v>
      </c>
      <c r="F8" s="506" t="s">
        <v>1680</v>
      </c>
      <c r="G8" s="507" t="s">
        <v>1677</v>
      </c>
      <c r="H8" s="508" t="s">
        <v>1681</v>
      </c>
      <c r="I8" s="442"/>
      <c r="J8" s="436" t="str">
        <f>'Encoding Part 1'!B15</f>
        <v>1.4.2</v>
      </c>
      <c r="K8" s="443">
        <f ca="1">'Encoding Part 1'!N15</f>
        <v>0.33928999999999998</v>
      </c>
      <c r="L8" s="436"/>
      <c r="M8" s="436"/>
      <c r="N8" s="444" t="s">
        <v>816</v>
      </c>
      <c r="O8" s="436" t="s">
        <v>817</v>
      </c>
      <c r="P8" s="437"/>
      <c r="Q8" s="436"/>
      <c r="R8" s="436"/>
      <c r="S8" s="427"/>
      <c r="T8" s="446"/>
      <c r="U8" s="446"/>
      <c r="V8" s="446"/>
      <c r="W8" s="446"/>
    </row>
    <row r="9" spans="1:23" ht="83.4" thickBot="1">
      <c r="A9" s="447" t="str">
        <f ca="1"/>
        <v>1.5.2</v>
      </c>
      <c r="B9" s="448" t="str">
        <f t="shared" ca="1" si="0"/>
        <v>Applied a range of teaching strategies to develop critical and creative thinking, as well as other higher-order thinking skills</v>
      </c>
      <c r="C9" s="449" t="str">
        <f ca="1"/>
        <v>5.2.2</v>
      </c>
      <c r="D9" s="450" t="str">
        <f t="shared" ca="1" si="0"/>
        <v>Monitored and evaluated learner progress and achievement using learner attainment data</v>
      </c>
      <c r="E9" s="509" t="s">
        <v>1682</v>
      </c>
      <c r="F9" s="509" t="s">
        <v>1683</v>
      </c>
      <c r="G9" s="510" t="s">
        <v>1684</v>
      </c>
      <c r="H9" s="511" t="s">
        <v>1685</v>
      </c>
      <c r="I9" s="451"/>
      <c r="J9" s="436" t="str">
        <f>'Encoding Part 1'!B16</f>
        <v>1.5.2</v>
      </c>
      <c r="K9" s="443">
        <f ca="1">'Encoding Part 1'!N16</f>
        <v>0.33928999999999998</v>
      </c>
      <c r="L9" s="436"/>
      <c r="M9" s="436"/>
      <c r="N9" s="444" t="s">
        <v>832</v>
      </c>
      <c r="O9" s="436" t="s">
        <v>833</v>
      </c>
      <c r="P9" s="437"/>
      <c r="Q9" s="436"/>
      <c r="R9" s="436"/>
      <c r="S9" s="427"/>
      <c r="T9" s="446"/>
      <c r="U9" s="446"/>
      <c r="V9" s="446"/>
      <c r="W9" s="446"/>
    </row>
    <row r="10" spans="1:23" ht="16.2" thickBot="1">
      <c r="A10" s="1075" t="s">
        <v>177</v>
      </c>
      <c r="B10" s="1076"/>
      <c r="C10" s="1076"/>
      <c r="D10" s="1077"/>
      <c r="E10" s="1077"/>
      <c r="F10" s="1077"/>
      <c r="G10" s="1077"/>
      <c r="H10" s="1078"/>
      <c r="I10" s="442"/>
      <c r="J10" s="436" t="str">
        <f>'Encoding Part 1'!B17</f>
        <v>2.3.2</v>
      </c>
      <c r="K10" s="443">
        <f ca="1">'Encoding Part 1'!N17</f>
        <v>0.33928999999999998</v>
      </c>
      <c r="L10" s="436"/>
      <c r="M10" s="436"/>
      <c r="N10" s="444" t="s">
        <v>843</v>
      </c>
      <c r="O10" s="436" t="s">
        <v>844</v>
      </c>
      <c r="P10" s="437"/>
      <c r="Q10" s="436"/>
      <c r="R10" s="436"/>
      <c r="S10" s="427"/>
      <c r="T10" s="446"/>
      <c r="U10" s="446"/>
      <c r="V10" s="446"/>
      <c r="W10" s="446"/>
    </row>
    <row r="11" spans="1:23" ht="69">
      <c r="A11" s="452" t="str" cm="1">
        <f t="array" ref="A11:A13">INDEX(_xlfn.SORTBY(J24:K30, K24:K30,-1),_xlfn.SEQUENCE(3),1)</f>
        <v>Self-Management</v>
      </c>
      <c r="B11" s="453"/>
      <c r="C11" s="454" t="str" cm="1">
        <f t="array" ref="C11:C13">INDEX(_xlfn.SORTBY(J24:K30, K24:K30,1),_xlfn.SEQUENCE(3),1)</f>
        <v>Teamwork</v>
      </c>
      <c r="D11" s="453"/>
      <c r="E11" s="512" t="s">
        <v>1686</v>
      </c>
      <c r="F11" s="512" t="s">
        <v>1687</v>
      </c>
      <c r="G11" s="512" t="s">
        <v>1688</v>
      </c>
      <c r="H11" s="513" t="s">
        <v>1689</v>
      </c>
      <c r="I11" s="442"/>
      <c r="J11" s="436" t="str">
        <f>'Encoding Part 1'!B18</f>
        <v>2.6.2</v>
      </c>
      <c r="K11" s="443">
        <f ca="1">'Encoding Part 1'!N18</f>
        <v>0.33928999999999998</v>
      </c>
      <c r="L11" s="430"/>
      <c r="M11" s="430"/>
      <c r="N11" s="430"/>
      <c r="O11" s="430"/>
      <c r="P11" s="432"/>
      <c r="Q11" s="430"/>
      <c r="R11" s="430"/>
      <c r="S11" s="427"/>
      <c r="T11" s="446"/>
      <c r="U11" s="446"/>
      <c r="V11" s="446"/>
      <c r="W11" s="446"/>
    </row>
    <row r="12" spans="1:23" ht="82.8">
      <c r="A12" s="455" t="str">
        <v>Gender Sensitivity</v>
      </c>
      <c r="B12" s="439"/>
      <c r="C12" s="456" t="str">
        <v>Service Orientation</v>
      </c>
      <c r="D12" s="439"/>
      <c r="E12" s="507" t="s">
        <v>1690</v>
      </c>
      <c r="F12" s="507" t="s">
        <v>1691</v>
      </c>
      <c r="G12" s="507" t="s">
        <v>1688</v>
      </c>
      <c r="H12" s="508" t="s">
        <v>1692</v>
      </c>
      <c r="I12" s="442"/>
      <c r="J12" s="436" t="str">
        <f>'Encoding Part 1'!B19</f>
        <v>3.1.2</v>
      </c>
      <c r="K12" s="443">
        <f ca="1">'Encoding Part 1'!N19</f>
        <v>0.27143</v>
      </c>
      <c r="L12" s="430"/>
      <c r="M12" s="430"/>
      <c r="N12" s="430"/>
      <c r="O12" s="430"/>
      <c r="P12" s="432"/>
      <c r="Q12" s="430"/>
      <c r="R12" s="430"/>
      <c r="S12" s="427"/>
      <c r="T12" s="446"/>
      <c r="U12" s="446"/>
      <c r="V12" s="446"/>
      <c r="W12" s="446"/>
    </row>
    <row r="13" spans="1:23" ht="83.4" thickBot="1">
      <c r="A13" s="457" t="str">
        <v>Professionalism and Ethics</v>
      </c>
      <c r="B13" s="458"/>
      <c r="C13" s="459" t="str">
        <v>Innovation</v>
      </c>
      <c r="D13" s="458"/>
      <c r="E13" s="514" t="s">
        <v>1693</v>
      </c>
      <c r="F13" s="514" t="s">
        <v>1694</v>
      </c>
      <c r="G13" s="514" t="s">
        <v>1688</v>
      </c>
      <c r="H13" s="515" t="s">
        <v>1695</v>
      </c>
      <c r="I13" s="451" t="s">
        <v>176</v>
      </c>
      <c r="J13" s="436" t="str">
        <f>'Encoding Part 1'!B20</f>
        <v>4.1.2</v>
      </c>
      <c r="K13" s="443">
        <f ca="1">'Encoding Part 1'!N20</f>
        <v>0.33928999999999998</v>
      </c>
      <c r="L13" s="430"/>
      <c r="M13" s="430"/>
      <c r="N13" s="430"/>
      <c r="O13" s="430"/>
      <c r="P13" s="432"/>
      <c r="Q13" s="430"/>
      <c r="R13" s="430"/>
      <c r="S13" s="427"/>
      <c r="T13" s="446"/>
      <c r="U13" s="446"/>
      <c r="V13" s="446"/>
      <c r="W13" s="446"/>
    </row>
    <row r="14" spans="1:23" ht="16.05" hidden="1" customHeight="1" thickBot="1">
      <c r="A14" s="1075" t="s">
        <v>178</v>
      </c>
      <c r="B14" s="1076"/>
      <c r="C14" s="1076"/>
      <c r="D14" s="1077"/>
      <c r="E14" s="1077"/>
      <c r="F14" s="1077"/>
      <c r="G14" s="1077"/>
      <c r="H14" s="1078"/>
      <c r="I14" s="451" t="s">
        <v>176</v>
      </c>
      <c r="J14" s="436" t="str">
        <f>'Encoding Part 1'!B21</f>
        <v>4.4.2</v>
      </c>
      <c r="K14" s="443">
        <f>'Encoding Part 1'!N21</f>
        <v>0.30536000000000002</v>
      </c>
      <c r="L14" s="430"/>
      <c r="M14" s="430"/>
      <c r="N14" s="430"/>
      <c r="O14" s="430"/>
      <c r="P14" s="432"/>
      <c r="Q14" s="430"/>
      <c r="R14" s="430"/>
      <c r="S14" s="427"/>
      <c r="T14" s="446"/>
      <c r="U14" s="446"/>
      <c r="V14" s="446"/>
      <c r="W14" s="446"/>
    </row>
    <row r="15" spans="1:23" hidden="1">
      <c r="A15" s="1079" t="str">
        <f>INDEX(_xlfn.SORTBY(J34:K36, K34:K36,-1),1,1)</f>
        <v>Leading People</v>
      </c>
      <c r="B15" s="1067"/>
      <c r="C15" s="1066" t="str">
        <f>INDEX(_xlfn.SORTBY(J34:K36, K34:K36,1),1,1)</f>
        <v>Leading People</v>
      </c>
      <c r="D15" s="1067"/>
      <c r="E15" s="507"/>
      <c r="F15" s="507"/>
      <c r="G15" s="507"/>
      <c r="H15" s="508"/>
      <c r="I15" s="451"/>
      <c r="J15" s="436" t="str">
        <f>'Encoding Part 1'!B22</f>
        <v>4.5.2</v>
      </c>
      <c r="K15" s="443">
        <f ca="1">'Encoding Part 1'!N22</f>
        <v>0.33928999999999998</v>
      </c>
      <c r="L15" s="430"/>
      <c r="M15" s="430"/>
      <c r="N15" s="430"/>
      <c r="O15" s="430"/>
      <c r="P15" s="432"/>
      <c r="Q15" s="430"/>
      <c r="R15" s="430"/>
      <c r="S15" s="427"/>
      <c r="T15" s="446"/>
      <c r="U15" s="446"/>
      <c r="V15" s="446"/>
      <c r="W15" s="446"/>
    </row>
    <row r="16" spans="1:23" hidden="1">
      <c r="A16" s="1080"/>
      <c r="B16" s="1069"/>
      <c r="C16" s="1068"/>
      <c r="D16" s="1069"/>
      <c r="E16" s="507"/>
      <c r="F16" s="507"/>
      <c r="G16" s="507"/>
      <c r="H16" s="508"/>
      <c r="I16" s="451"/>
      <c r="J16" s="436" t="str">
        <f>'Encoding Part 1'!B23</f>
        <v>5.1.2</v>
      </c>
      <c r="K16" s="443">
        <f ca="1">'Encoding Part 1'!N23</f>
        <v>0.27143</v>
      </c>
      <c r="L16" s="430"/>
      <c r="M16" s="430"/>
      <c r="N16" s="430"/>
      <c r="O16" s="430"/>
      <c r="P16" s="432"/>
      <c r="Q16" s="430"/>
      <c r="R16" s="430"/>
      <c r="S16" s="427"/>
      <c r="T16" s="446"/>
      <c r="U16" s="446"/>
      <c r="V16" s="446"/>
      <c r="W16" s="446"/>
    </row>
    <row r="17" spans="1:23" ht="16.05" hidden="1" customHeight="1" thickBot="1">
      <c r="A17" s="1064"/>
      <c r="B17" s="1065"/>
      <c r="C17" s="1070"/>
      <c r="D17" s="1065"/>
      <c r="E17" s="514"/>
      <c r="F17" s="514"/>
      <c r="G17" s="514"/>
      <c r="H17" s="515"/>
      <c r="I17" s="451"/>
      <c r="J17" s="460" t="str">
        <f>'Encoding Part 1'!B24</f>
        <v>5.2.2</v>
      </c>
      <c r="K17" s="443">
        <f>'Encoding Part 1'!N24</f>
        <v>0.27143</v>
      </c>
      <c r="L17" s="5"/>
      <c r="M17" s="5"/>
      <c r="N17" s="5"/>
      <c r="O17" s="5"/>
      <c r="P17" s="461"/>
      <c r="Q17" s="5"/>
      <c r="T17" s="442"/>
      <c r="U17" s="442"/>
      <c r="V17" s="442"/>
      <c r="W17" s="442"/>
    </row>
    <row r="18" spans="1:23">
      <c r="J18" s="460" t="str">
        <f>'Encoding Part 1'!B25</f>
        <v>5.4.2</v>
      </c>
      <c r="K18" s="443">
        <f>'Encoding Part 1'!N25</f>
        <v>0.29404999999999998</v>
      </c>
    </row>
    <row r="19" spans="1:23" ht="14.55" customHeight="1" thickBot="1">
      <c r="J19" s="460" t="str">
        <f>'Encoding Part 1'!B26</f>
        <v>7.1.2</v>
      </c>
      <c r="K19" s="443">
        <f>'Encoding Part 1'!N26</f>
        <v>0.27143</v>
      </c>
    </row>
    <row r="20" spans="1:23" ht="16.2" thickBot="1">
      <c r="A20" s="1098" t="s">
        <v>187</v>
      </c>
      <c r="B20" s="1099"/>
      <c r="C20" s="1099"/>
      <c r="D20" s="1100"/>
      <c r="E20" s="1100"/>
      <c r="F20" s="1100"/>
      <c r="G20" s="1100"/>
      <c r="H20" s="1101"/>
      <c r="J20" s="460" t="str">
        <f>'Encoding Part 1'!B27</f>
        <v>7.5.2</v>
      </c>
      <c r="K20" s="443">
        <f>'Encoding Part 1'!N27</f>
        <v>0.29404999999999998</v>
      </c>
    </row>
    <row r="21" spans="1:23" ht="16.2" thickBot="1">
      <c r="A21" s="1102"/>
      <c r="B21" s="1103"/>
      <c r="C21" s="1103"/>
      <c r="D21" s="1103"/>
      <c r="E21" s="1103"/>
      <c r="F21" s="1103"/>
      <c r="G21" s="1103"/>
      <c r="H21" s="1104"/>
    </row>
    <row r="22" spans="1:23" ht="15.6">
      <c r="A22" s="421"/>
      <c r="B22" s="421"/>
      <c r="C22" s="421"/>
      <c r="D22" s="421"/>
      <c r="E22" s="421"/>
      <c r="F22" s="421"/>
      <c r="G22" s="421"/>
      <c r="H22" s="421"/>
    </row>
    <row r="23" spans="1:23" ht="18.45" customHeight="1">
      <c r="A23" s="1105" t="str">
        <f>'Encoding Part 1'!C7</f>
        <v>EJONIE G. DEGOLLACION</v>
      </c>
      <c r="B23" s="1105"/>
      <c r="C23" s="1105"/>
      <c r="D23" s="1105"/>
      <c r="E23" s="1105" t="str">
        <f>'Encoding Part 1'!B33</f>
        <v>GLORIFEL B. SAREÑO</v>
      </c>
      <c r="F23" s="1105"/>
      <c r="G23" s="1105" t="str">
        <f>'Encoding Part 1'!L33&amp;" "&amp;'Encoding Part 1'!Q33&amp;" "&amp;'Encoding Part 1'!G33</f>
        <v>NICKJON C. BABATU-ON</v>
      </c>
      <c r="H23" s="1105"/>
    </row>
    <row r="24" spans="1:23" ht="18.45" customHeight="1">
      <c r="A24" s="1097" t="s">
        <v>188</v>
      </c>
      <c r="B24" s="1097"/>
      <c r="C24" s="1097"/>
      <c r="D24" s="1097"/>
      <c r="E24" s="1097" t="s">
        <v>189</v>
      </c>
      <c r="F24" s="1097"/>
      <c r="G24" s="1097" t="s">
        <v>190</v>
      </c>
      <c r="H24" s="1097"/>
      <c r="J24" s="4" t="s">
        <v>182</v>
      </c>
      <c r="K24" s="422">
        <f>'Part 2-A'!T11</f>
        <v>4.8</v>
      </c>
    </row>
    <row r="25" spans="1:23" ht="14.55" customHeight="1">
      <c r="J25" s="4" t="s">
        <v>183</v>
      </c>
      <c r="K25" s="422">
        <f>'Part 2-A'!T18</f>
        <v>4.4000000000000004</v>
      </c>
    </row>
    <row r="26" spans="1:23" ht="14.55" customHeight="1">
      <c r="J26" s="427" t="s">
        <v>1514</v>
      </c>
      <c r="K26" s="422">
        <f>'Part 2-A'!T25</f>
        <v>4.4000000000000004</v>
      </c>
    </row>
    <row r="27" spans="1:23" ht="14.55" customHeight="1">
      <c r="J27" s="4" t="s">
        <v>184</v>
      </c>
      <c r="K27" s="422">
        <f>'Part 2-A'!T32</f>
        <v>4.2</v>
      </c>
    </row>
    <row r="28" spans="1:23" ht="14.55" customHeight="1">
      <c r="J28" s="4" t="s">
        <v>185</v>
      </c>
      <c r="K28" s="422">
        <f>'Part 2-A'!T39</f>
        <v>4.2</v>
      </c>
    </row>
    <row r="29" spans="1:23" ht="14.55" customHeight="1">
      <c r="J29" s="4" t="s">
        <v>186</v>
      </c>
      <c r="K29" s="422">
        <f>'Part 2-A'!T46</f>
        <v>4.2</v>
      </c>
    </row>
    <row r="30" spans="1:23" ht="14.55" customHeight="1">
      <c r="J30" s="427" t="s">
        <v>1515</v>
      </c>
      <c r="K30" s="422">
        <f>'Part 2-A'!T53</f>
        <v>4.8</v>
      </c>
    </row>
    <row r="31" spans="1:23" ht="14.55" customHeight="1"/>
    <row r="32" spans="1:23" ht="14.55" customHeight="1"/>
    <row r="33" spans="10:11" ht="14.55" customHeight="1"/>
    <row r="34" spans="10:11" ht="14.55" customHeight="1">
      <c r="J34" s="4" t="s">
        <v>59</v>
      </c>
      <c r="K34" s="422" t="str">
        <f>'Part 2-B'!F8</f>
        <v/>
      </c>
    </row>
    <row r="35" spans="10:11" ht="14.55" customHeight="1">
      <c r="J35" s="4" t="s">
        <v>65</v>
      </c>
      <c r="K35" s="422" t="str">
        <f>'Part 2-B'!F13</f>
        <v/>
      </c>
    </row>
    <row r="36" spans="10:11" ht="14.55" customHeight="1">
      <c r="J36" s="4" t="s">
        <v>71</v>
      </c>
      <c r="K36" s="422" t="str">
        <f>'Part 2-B'!F18</f>
        <v/>
      </c>
    </row>
    <row r="37" spans="10:11" ht="14.55" customHeight="1"/>
    <row r="38" spans="10:11" ht="14.55" customHeight="1"/>
    <row r="39" spans="10:11" ht="14.55" customHeight="1"/>
    <row r="40" spans="10:11" ht="14.55" customHeight="1"/>
    <row r="41" spans="10:11" ht="14.55" customHeight="1"/>
    <row r="42" spans="10:11" ht="14.55" customHeight="1"/>
    <row r="43" spans="10:11" ht="14.55" customHeight="1"/>
    <row r="44" spans="10:11" ht="14.55" customHeight="1"/>
    <row r="45" spans="10:11" ht="14.55" customHeight="1"/>
    <row r="46" spans="10:11" ht="14.55" customHeight="1"/>
    <row r="47" spans="10:11" ht="14.55" customHeight="1"/>
    <row r="48" spans="10:11" ht="14.55" customHeight="1"/>
    <row r="49" ht="14.55" customHeight="1"/>
    <row r="50" ht="14.55" customHeight="1"/>
    <row r="51" ht="14.55" customHeight="1"/>
    <row r="52" ht="14.55" customHeight="1"/>
  </sheetData>
  <sheetProtection algorithmName="SHA-512" hashValue="5Rrjbr7bYKFqkagddQaArp+FMH3Abwi39DkwiKY9Us5J27aDl1CZGR0Cmzf6wv4zejD+rTqhSca1W+rgCuzmJw==" saltValue="BYJk38iTfAxjoMKC3p87jA==" spinCount="100000" sheet="1" objects="1" scenarios="1" formatRows="0"/>
  <mergeCells count="24">
    <mergeCell ref="A24:D24"/>
    <mergeCell ref="E24:F24"/>
    <mergeCell ref="G24:H24"/>
    <mergeCell ref="A20:H20"/>
    <mergeCell ref="A21:H21"/>
    <mergeCell ref="A23:D23"/>
    <mergeCell ref="E23:F23"/>
    <mergeCell ref="G23:H23"/>
    <mergeCell ref="A1:H1"/>
    <mergeCell ref="E3:F3"/>
    <mergeCell ref="G3:G5"/>
    <mergeCell ref="H3:H5"/>
    <mergeCell ref="E4:F4"/>
    <mergeCell ref="A3:B5"/>
    <mergeCell ref="C3:D5"/>
    <mergeCell ref="A17:B17"/>
    <mergeCell ref="C15:D15"/>
    <mergeCell ref="C16:D16"/>
    <mergeCell ref="C17:D17"/>
    <mergeCell ref="A6:H6"/>
    <mergeCell ref="A10:H10"/>
    <mergeCell ref="A14:H14"/>
    <mergeCell ref="A15:B15"/>
    <mergeCell ref="A16:B16"/>
  </mergeCells>
  <conditionalFormatting sqref="A21:H24 A7:H9 A11:A13 C11:C13 E11:H13 A15:A17 C15:C17 E15:H17">
    <cfRule type="expression" dxfId="9" priority="1">
      <formula>TRUE</formula>
    </cfRule>
  </conditionalFormatting>
  <conditionalFormatting sqref="A1:XFD2 A3 E3:XFD5 C3 A14:XFD14 A18:XFD22 A11:A13 C11:C13 E11:XFD13 A15:A17 C15:C17 E15:XFD17 K7:K20 A6:XFD10 I23:XFD1048576 A19:H1048576">
    <cfRule type="expression" dxfId="8" priority="2">
      <formula>selected_career_stage="Distinguished"</formula>
    </cfRule>
    <cfRule type="expression" dxfId="7" priority="3">
      <formula>selected_career_stage="Highly Proficient"</formula>
    </cfRule>
    <cfRule type="expression" dxfId="6" priority="4">
      <formula>selected_career_stage="Proficient"</formula>
    </cfRule>
    <cfRule type="expression" dxfId="5" priority="5">
      <formula>selected_career_stage="Beginning towards Proficient"</formula>
    </cfRule>
  </conditionalFormatting>
  <printOptions horizontalCentered="1"/>
  <pageMargins left="0.51181102362204722" right="0.51181102362204722" top="0.70866141732283472" bottom="0.23622047244094491" header="0" footer="0.31496062992125984"/>
  <pageSetup paperSize="9" scale="87" fitToHeight="0" orientation="landscape" r:id="rId1"/>
  <headerFooter>
    <oddHeader xml:space="preserve">&amp;C&amp;G&amp;R
&amp;G
</oddHeader>
    <oddFooter>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482" r:id="rId5" name="Button 2">
              <controlPr defaultSize="0" print="0" autoFill="0" autoPict="0" macro="[0]!commitPage">
                <anchor moveWithCells="1" sizeWithCells="1">
                  <from>
                    <xdr:col>6</xdr:col>
                    <xdr:colOff>22860</xdr:colOff>
                    <xdr:row>25</xdr:row>
                    <xdr:rowOff>182880</xdr:rowOff>
                  </from>
                  <to>
                    <xdr:col>7</xdr:col>
                    <xdr:colOff>7620</xdr:colOff>
                    <xdr:row>29</xdr:row>
                    <xdr:rowOff>91440</xdr:rowOff>
                  </to>
                </anchor>
              </controlPr>
            </control>
          </mc:Choice>
        </mc:AlternateContent>
        <mc:AlternateContent xmlns:mc="http://schemas.openxmlformats.org/markup-compatibility/2006">
          <mc:Choice Requires="x14">
            <control shapeId="20483" r:id="rId6" name="Button 3">
              <controlPr defaultSize="0" print="0" autoFill="0" autoPict="0" macro="[0]!nextPage">
                <anchor moveWithCells="1" sizeWithCells="1">
                  <from>
                    <xdr:col>7</xdr:col>
                    <xdr:colOff>640080</xdr:colOff>
                    <xdr:row>25</xdr:row>
                    <xdr:rowOff>175260</xdr:rowOff>
                  </from>
                  <to>
                    <xdr:col>8</xdr:col>
                    <xdr:colOff>0</xdr:colOff>
                    <xdr:row>29</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D8B1F-5194-4213-BEE1-103CA9F255DD}">
  <sheetPr codeName="PART10">
    <pageSetUpPr fitToPage="1"/>
  </sheetPr>
  <dimension ref="A1:L17"/>
  <sheetViews>
    <sheetView showGridLines="0" zoomScale="90" zoomScaleNormal="90" workbookViewId="0">
      <selection activeCell="A9" sqref="A9"/>
    </sheetView>
  </sheetViews>
  <sheetFormatPr defaultColWidth="9.6640625" defaultRowHeight="14.4"/>
  <cols>
    <col min="1" max="1" width="10.21875" style="4" customWidth="1"/>
    <col min="2" max="2" width="49.44140625" style="4" customWidth="1"/>
    <col min="3" max="3" width="27.44140625" style="4" customWidth="1"/>
    <col min="4" max="6" width="13.109375" style="4" customWidth="1"/>
    <col min="7" max="7" width="16.5546875" style="4" customWidth="1"/>
    <col min="8" max="8" width="27.88671875" style="4" customWidth="1"/>
    <col min="9" max="9" width="9.6640625" style="4"/>
    <col min="10" max="10" width="9.6640625" style="4" hidden="1" customWidth="1"/>
    <col min="11" max="16384" width="9.6640625" style="4"/>
  </cols>
  <sheetData>
    <row r="1" spans="1:12" ht="18">
      <c r="A1" s="1081" t="s">
        <v>1494</v>
      </c>
      <c r="B1" s="1082"/>
      <c r="C1" s="1082"/>
      <c r="D1" s="1082"/>
      <c r="E1" s="1082"/>
      <c r="F1" s="1082"/>
      <c r="G1" s="1082"/>
      <c r="H1" s="1083"/>
    </row>
    <row r="2" spans="1:12" ht="89.55" customHeight="1"/>
    <row r="3" spans="1:12" ht="18">
      <c r="A3" s="1106" t="s">
        <v>179</v>
      </c>
      <c r="B3" s="1106"/>
      <c r="C3" s="1106"/>
      <c r="D3" s="1106"/>
      <c r="E3" s="1106"/>
      <c r="F3" s="1106"/>
      <c r="G3" s="1106"/>
      <c r="H3" s="1106"/>
    </row>
    <row r="4" spans="1:12">
      <c r="A4" s="1107" t="s">
        <v>180</v>
      </c>
      <c r="B4" s="1107"/>
      <c r="C4" s="1107"/>
      <c r="D4" s="1107"/>
      <c r="E4" s="1107"/>
      <c r="F4" s="1107"/>
      <c r="G4" s="1107"/>
      <c r="H4" s="1107"/>
    </row>
    <row r="5" spans="1:12" ht="15" thickBot="1"/>
    <row r="6" spans="1:12" ht="18.45" customHeight="1" thickBot="1">
      <c r="A6" s="1088" t="s">
        <v>181</v>
      </c>
      <c r="B6" s="1109"/>
      <c r="C6" s="1111" t="s">
        <v>1496</v>
      </c>
      <c r="D6" s="1113" t="s">
        <v>1492</v>
      </c>
      <c r="E6" s="1113"/>
      <c r="F6" s="1113"/>
      <c r="G6" s="1113"/>
      <c r="H6" s="1114"/>
    </row>
    <row r="7" spans="1:12" ht="18.45" customHeight="1">
      <c r="A7" s="1090"/>
      <c r="B7" s="1110"/>
      <c r="C7" s="1112"/>
      <c r="D7" s="1113" t="s">
        <v>134</v>
      </c>
      <c r="E7" s="1113"/>
      <c r="F7" s="1113"/>
      <c r="G7" s="1114"/>
      <c r="H7" s="1115" t="s">
        <v>1495</v>
      </c>
    </row>
    <row r="8" spans="1:12" ht="18.45" customHeight="1" thickBot="1">
      <c r="A8" s="1090"/>
      <c r="B8" s="1110"/>
      <c r="C8" s="1112"/>
      <c r="D8" s="408" t="s">
        <v>137</v>
      </c>
      <c r="E8" s="409" t="s">
        <v>138</v>
      </c>
      <c r="F8" s="409" t="s">
        <v>139</v>
      </c>
      <c r="G8" s="410" t="s">
        <v>140</v>
      </c>
      <c r="H8" s="1116"/>
    </row>
    <row r="9" spans="1:12" ht="30" customHeight="1">
      <c r="A9" s="115"/>
      <c r="B9" s="411" t="str">
        <f ca="1">IFERROR(VLOOKUP(A9,INDIRECT($J$10),2,0),"")</f>
        <v/>
      </c>
      <c r="C9" s="133"/>
      <c r="D9" s="134"/>
      <c r="E9" s="135"/>
      <c r="F9" s="135"/>
      <c r="G9" s="412">
        <f>IFERROR(ROUND(AVERAGE(D9:F9),4),0)</f>
        <v>0</v>
      </c>
      <c r="H9" s="413" t="str">
        <f>IFERROR(VLOOKUP(ROUND(G9,3),rating_desc_vlookup,2,TRUE),"")</f>
        <v>Poor</v>
      </c>
      <c r="J9" s="4" t="str">
        <f>IF(OR(selected_career_stage="Beginning towards Proficient",selected_career_stage="Proficient"),"Pobjectives",IF(OR(selected_career_stage="Highly Proficient",selected_career_stage="Distinguished"),"HPobjectives",""))</f>
        <v>Pobjectives</v>
      </c>
    </row>
    <row r="10" spans="1:12" ht="30" customHeight="1">
      <c r="A10" s="116"/>
      <c r="B10" s="414" t="str">
        <f t="shared" ref="B10:B11" ca="1" si="0">IFERROR(VLOOKUP(A10,INDIRECT($J$10),2,0),"")</f>
        <v/>
      </c>
      <c r="C10" s="136"/>
      <c r="D10" s="137"/>
      <c r="E10" s="138"/>
      <c r="F10" s="138"/>
      <c r="G10" s="415">
        <f t="shared" ref="G10:G11" si="1">IFERROR(ROUND(AVERAGE(D10:F10),4),0)</f>
        <v>0</v>
      </c>
      <c r="H10" s="416" t="str">
        <f>IFERROR(VLOOKUP(ROUND(G10,3),rating_desc_vlookup,2,TRUE),"")</f>
        <v>Poor</v>
      </c>
      <c r="J10" s="4" t="str">
        <f>IF(OR(selected_career_stage="Beginning towards Proficient",selected_career_stage="Proficient"),"Pindicators",IF(OR(selected_career_stage="Highly Proficient",selected_career_stage="Distinguished"),"HPindicators",""))</f>
        <v>Pindicators</v>
      </c>
      <c r="L10" s="417"/>
    </row>
    <row r="11" spans="1:12" ht="30" customHeight="1" thickBot="1">
      <c r="A11" s="117"/>
      <c r="B11" s="418" t="str">
        <f t="shared" ca="1" si="0"/>
        <v/>
      </c>
      <c r="C11" s="139"/>
      <c r="D11" s="140"/>
      <c r="E11" s="141"/>
      <c r="F11" s="141"/>
      <c r="G11" s="419">
        <f t="shared" si="1"/>
        <v>0</v>
      </c>
      <c r="H11" s="420" t="str">
        <f>IFERROR(VLOOKUP(ROUND(G11,3),rating_desc_vlookup,2,TRUE),"")</f>
        <v>Poor</v>
      </c>
    </row>
    <row r="12" spans="1:12" ht="18" customHeight="1" thickBot="1"/>
    <row r="13" spans="1:12" ht="15" customHeight="1" thickBot="1">
      <c r="A13" s="1098" t="s">
        <v>187</v>
      </c>
      <c r="B13" s="1099"/>
      <c r="C13" s="1100"/>
      <c r="D13" s="1100"/>
      <c r="E13" s="1100"/>
      <c r="F13" s="1100"/>
      <c r="G13" s="1100"/>
      <c r="H13" s="1101"/>
    </row>
    <row r="14" spans="1:12" ht="31.05" customHeight="1" thickBot="1">
      <c r="A14" s="1117"/>
      <c r="B14" s="1118"/>
      <c r="C14" s="1118"/>
      <c r="D14" s="1118"/>
      <c r="E14" s="1118"/>
      <c r="F14" s="1118"/>
      <c r="G14" s="1118"/>
      <c r="H14" s="1119"/>
    </row>
    <row r="15" spans="1:12" ht="19.05" customHeight="1">
      <c r="A15" s="421"/>
      <c r="B15" s="421"/>
      <c r="C15" s="421"/>
      <c r="D15" s="421"/>
      <c r="E15" s="421"/>
      <c r="F15" s="421"/>
      <c r="G15" s="421"/>
      <c r="H15" s="421"/>
    </row>
    <row r="16" spans="1:12" ht="16.05" customHeight="1">
      <c r="A16" s="1108" t="str">
        <f>'Encoding Part 1'!C7</f>
        <v>EJONIE G. DEGOLLACION</v>
      </c>
      <c r="B16" s="1108"/>
      <c r="C16" s="1108" t="str">
        <f>'Encoding Part 1'!B33</f>
        <v>GLORIFEL B. SAREÑO</v>
      </c>
      <c r="D16" s="1108"/>
      <c r="E16" s="1108"/>
      <c r="F16" s="1108" t="str">
        <f>'Encoding Part 1'!L33&amp;" "&amp;'Encoding Part 1'!Q33&amp;" "&amp;'Encoding Part 1'!G33</f>
        <v>NICKJON C. BABATU-ON</v>
      </c>
      <c r="G16" s="1108"/>
      <c r="H16" s="1108"/>
    </row>
    <row r="17" spans="1:8">
      <c r="A17" s="1097" t="s">
        <v>188</v>
      </c>
      <c r="B17" s="1097"/>
      <c r="C17" s="1097" t="s">
        <v>189</v>
      </c>
      <c r="D17" s="1097"/>
      <c r="E17" s="1097"/>
      <c r="F17" s="1097" t="s">
        <v>190</v>
      </c>
      <c r="G17" s="1097"/>
      <c r="H17" s="1097"/>
    </row>
  </sheetData>
  <sheetProtection algorithmName="SHA-512" hashValue="7XKaU8rdWCLYJtqdhlnJRwRy7bh/ZjfHupib8EHiDdy1Qdpf6Jl5XXVaysRgb7UvJNTtPcKHrXx3Phq13KS9Ig==" saltValue="yDQwQxKcAm4w043BFjBoDA==" spinCount="100000" sheet="1" objects="1" scenarios="1" formatRows="0"/>
  <mergeCells count="16">
    <mergeCell ref="A3:H3"/>
    <mergeCell ref="A4:H4"/>
    <mergeCell ref="A17:B17"/>
    <mergeCell ref="C17:E17"/>
    <mergeCell ref="A1:H1"/>
    <mergeCell ref="F16:H16"/>
    <mergeCell ref="F17:H17"/>
    <mergeCell ref="A6:B8"/>
    <mergeCell ref="C6:C8"/>
    <mergeCell ref="D7:G7"/>
    <mergeCell ref="D6:H6"/>
    <mergeCell ref="H7:H8"/>
    <mergeCell ref="A16:B16"/>
    <mergeCell ref="A13:H13"/>
    <mergeCell ref="A14:H14"/>
    <mergeCell ref="C16:E16"/>
  </mergeCells>
  <conditionalFormatting sqref="A1:XFD1048576">
    <cfRule type="expression" dxfId="4" priority="17">
      <formula>TRUE</formula>
    </cfRule>
  </conditionalFormatting>
  <conditionalFormatting sqref="A6:H8 A13:H13">
    <cfRule type="expression" dxfId="3" priority="13">
      <formula>selected_career_stage="Distinguished"</formula>
    </cfRule>
    <cfRule type="expression" dxfId="2" priority="14">
      <formula>selected_career_stage="Highly Proficient"</formula>
    </cfRule>
    <cfRule type="expression" dxfId="1" priority="15">
      <formula>selected_career_stage="Proficient"</formula>
    </cfRule>
    <cfRule type="expression" dxfId="0" priority="16">
      <formula>selected_career_stage="Beginning towards Proficient"</formula>
    </cfRule>
  </conditionalFormatting>
  <dataValidations count="2">
    <dataValidation type="list" allowBlank="1" showInputMessage="1" showErrorMessage="1" sqref="A9:A11" xr:uid="{DBE38BF5-79E0-4B20-BE5C-23FF6AB8D739}">
      <formula1>INDIRECT($J$9)</formula1>
    </dataValidation>
    <dataValidation type="list" allowBlank="1" showInputMessage="1" showErrorMessage="1" sqref="D9:F11" xr:uid="{67E13C4F-5635-4CBA-ABE0-4E9AC964CCF4}">
      <formula1>"1,2,3,4,5"</formula1>
    </dataValidation>
  </dataValidations>
  <printOptions horizontalCentered="1"/>
  <pageMargins left="0.51181102362204722" right="0.51181102362204722" top="0.70866141732283472" bottom="0.23622047244094491" header="0" footer="0.31496062992125984"/>
  <pageSetup paperSize="9" scale="89" fitToHeight="0" orientation="landscape" r:id="rId1"/>
  <headerFooter>
    <oddHeader xml:space="preserve">&amp;C&amp;G&amp;R
&amp;G
</oddHeader>
    <oddFooter>Page &amp;P of &amp;N</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9FF6D245262764F8B8E097A91559D0A" ma:contentTypeVersion="13" ma:contentTypeDescription="Create a new document." ma:contentTypeScope="" ma:versionID="85cdf76938df9876e75270fe281f7e94">
  <xsd:schema xmlns:xsd="http://www.w3.org/2001/XMLSchema" xmlns:xs="http://www.w3.org/2001/XMLSchema" xmlns:p="http://schemas.microsoft.com/office/2006/metadata/properties" xmlns:ns3="20b9a692-f403-45d9-b7c4-e810e444cd78" xmlns:ns4="65b439a9-0c3d-44b6-95c8-46660517e686" targetNamespace="http://schemas.microsoft.com/office/2006/metadata/properties" ma:root="true" ma:fieldsID="7e6acda67255455f70a9c6f08f798344" ns3:_="" ns4:_="">
    <xsd:import namespace="20b9a692-f403-45d9-b7c4-e810e444cd78"/>
    <xsd:import namespace="65b439a9-0c3d-44b6-95c8-46660517e686"/>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0b9a692-f403-45d9-b7c4-e810e444cd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b439a9-0c3d-44b6-95c8-46660517e68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FCEFB8-A203-41C5-8B07-2306DC97E43A}">
  <ds:schemaRefs>
    <ds:schemaRef ds:uri="http://www.w3.org/XML/1998/namespace"/>
    <ds:schemaRef ds:uri="65b439a9-0c3d-44b6-95c8-46660517e686"/>
    <ds:schemaRef ds:uri="http://schemas.microsoft.com/office/2006/documentManagement/types"/>
    <ds:schemaRef ds:uri="http://schemas.openxmlformats.org/package/2006/metadata/core-properties"/>
    <ds:schemaRef ds:uri="http://purl.org/dc/dcmitype/"/>
    <ds:schemaRef ds:uri="http://purl.org/dc/terms/"/>
    <ds:schemaRef ds:uri="20b9a692-f403-45d9-b7c4-e810e444cd78"/>
    <ds:schemaRef ds:uri="http://schemas.microsoft.com/office/infopath/2007/PartnerControl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03018956-95D0-4ADE-8E05-1FDA024B72D2}">
  <ds:schemaRefs>
    <ds:schemaRef ds:uri="http://schemas.microsoft.com/sharepoint/v3/contenttype/forms"/>
  </ds:schemaRefs>
</ds:datastoreItem>
</file>

<file path=customXml/itemProps3.xml><?xml version="1.0" encoding="utf-8"?>
<ds:datastoreItem xmlns:ds="http://schemas.openxmlformats.org/officeDocument/2006/customXml" ds:itemID="{B6D82C78-0C76-4B6A-B3B1-996E4DFB8EE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0b9a692-f403-45d9-b7c4-e810e444cd78"/>
    <ds:schemaRef ds:uri="65b439a9-0c3d-44b6-95c8-46660517e6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233</vt:i4>
      </vt:variant>
    </vt:vector>
  </HeadingPairs>
  <TitlesOfParts>
    <vt:vector size="255" baseType="lpstr">
      <vt:lpstr>meta</vt:lpstr>
      <vt:lpstr>tbl_demographic</vt:lpstr>
      <vt:lpstr>tbl_profstandards_ratings</vt:lpstr>
      <vt:lpstr>data1</vt:lpstr>
      <vt:lpstr>data2</vt:lpstr>
      <vt:lpstr>Status</vt:lpstr>
      <vt:lpstr>HOME</vt:lpstr>
      <vt:lpstr>Privacy Notice</vt:lpstr>
      <vt:lpstr>Demographic Profile</vt:lpstr>
      <vt:lpstr>Encoding Part 1</vt:lpstr>
      <vt:lpstr>PART 1-BtP</vt:lpstr>
      <vt:lpstr>PART 1-P</vt:lpstr>
      <vt:lpstr>PART 1-HP</vt:lpstr>
      <vt:lpstr>PART 1-D</vt:lpstr>
      <vt:lpstr>Part 2-A</vt:lpstr>
      <vt:lpstr>Part 2-B</vt:lpstr>
      <vt:lpstr>PART 3-BtP</vt:lpstr>
      <vt:lpstr>PART 3-P</vt:lpstr>
      <vt:lpstr>PART 3-HP</vt:lpstr>
      <vt:lpstr>PART 3-D</vt:lpstr>
      <vt:lpstr>PART 4-IDP</vt:lpstr>
      <vt:lpstr>PART 5-Commitment</vt:lpstr>
      <vt:lpstr>adjectivalrating</vt:lpstr>
      <vt:lpstr>admin_coi</vt:lpstr>
      <vt:lpstr>admin_coi_ncoi</vt:lpstr>
      <vt:lpstr>admin_ncoi</vt:lpstr>
      <vt:lpstr>age_list</vt:lpstr>
      <vt:lpstr>approvingpositions_list</vt:lpstr>
      <vt:lpstr>BARMM_divlist</vt:lpstr>
      <vt:lpstr>BARMM_vlookup</vt:lpstr>
      <vt:lpstr>BtP_COI</vt:lpstr>
      <vt:lpstr>BtP_COT</vt:lpstr>
      <vt:lpstr>BtP_COT_vlookup</vt:lpstr>
      <vt:lpstr>BtP_COTno</vt:lpstr>
      <vt:lpstr>BtP_Ind</vt:lpstr>
      <vt:lpstr>BtP_positions</vt:lpstr>
      <vt:lpstr>BtP_QET</vt:lpstr>
      <vt:lpstr>CAR_divlist</vt:lpstr>
      <vt:lpstr>CAR_vlookup</vt:lpstr>
      <vt:lpstr>Class1</vt:lpstr>
      <vt:lpstr>Class10</vt:lpstr>
      <vt:lpstr>Class11</vt:lpstr>
      <vt:lpstr>Class12</vt:lpstr>
      <vt:lpstr>Class13</vt:lpstr>
      <vt:lpstr>Class14</vt:lpstr>
      <vt:lpstr>Class15</vt:lpstr>
      <vt:lpstr>Class16</vt:lpstr>
      <vt:lpstr>Class17</vt:lpstr>
      <vt:lpstr>Class18</vt:lpstr>
      <vt:lpstr>Class2</vt:lpstr>
      <vt:lpstr>Class3</vt:lpstr>
      <vt:lpstr>Class4</vt:lpstr>
      <vt:lpstr>Class5</vt:lpstr>
      <vt:lpstr>Class6</vt:lpstr>
      <vt:lpstr>Class7</vt:lpstr>
      <vt:lpstr>Class8</vt:lpstr>
      <vt:lpstr>Class9</vt:lpstr>
      <vt:lpstr>classification_list</vt:lpstr>
      <vt:lpstr>coi_blank</vt:lpstr>
      <vt:lpstr>coi_ncoi</vt:lpstr>
      <vt:lpstr>coi_ncoi_select</vt:lpstr>
      <vt:lpstr>competency_level</vt:lpstr>
      <vt:lpstr>competency_level_vlookup</vt:lpstr>
      <vt:lpstr>core</vt:lpstr>
      <vt:lpstr>cot_inc_rating_sy_end</vt:lpstr>
      <vt:lpstr>cotsubjects_list</vt:lpstr>
      <vt:lpstr>curricular_classification_list</vt:lpstr>
      <vt:lpstr>curricular_classification_vlookup</vt:lpstr>
      <vt:lpstr>D_COI</vt:lpstr>
      <vt:lpstr>D_COT</vt:lpstr>
      <vt:lpstr>D_COT_vlookup</vt:lpstr>
      <vt:lpstr>D_COTno</vt:lpstr>
      <vt:lpstr>D_Ind</vt:lpstr>
      <vt:lpstr>D_positions</vt:lpstr>
      <vt:lpstr>D_QET</vt:lpstr>
      <vt:lpstr>degree_list</vt:lpstr>
      <vt:lpstr>'Demographic Profile'!demographics_age</vt:lpstr>
      <vt:lpstr>'Demographic Profile'!demographics_classification</vt:lpstr>
      <vt:lpstr>'Demographic Profile'!demographics_dropdown_select_check</vt:lpstr>
      <vt:lpstr>'Demographic Profile'!demographics_email</vt:lpstr>
      <vt:lpstr>'Demographic Profile'!demographics_email_check</vt:lpstr>
      <vt:lpstr>'Demographic Profile'!demographics_employee_info</vt:lpstr>
      <vt:lpstr>'Demographic Profile'!demographics_empstatus</vt:lpstr>
      <vt:lpstr>'Demographic Profile'!demographics_experience</vt:lpstr>
      <vt:lpstr>'Demographic Profile'!demographics_firstname</vt:lpstr>
      <vt:lpstr>'Demographic Profile'!demographics_id_check</vt:lpstr>
      <vt:lpstr>'Demographic Profile'!demographics_lastname</vt:lpstr>
      <vt:lpstr>'Demographic Profile'!demographics_level</vt:lpstr>
      <vt:lpstr>'Demographic Profile'!demographics_middlename</vt:lpstr>
      <vt:lpstr>'Demographic Profile'!demographics_others_check</vt:lpstr>
      <vt:lpstr>'Demographic Profile'!demographics_position</vt:lpstr>
      <vt:lpstr>demographics_position</vt:lpstr>
      <vt:lpstr>'Demographic Profile'!demographics_save_attempt</vt:lpstr>
      <vt:lpstr>'Demographic Profile'!demographics_school_info</vt:lpstr>
      <vt:lpstr>'Demographic Profile'!demographics_sex</vt:lpstr>
      <vt:lpstr>'Demographic Profile'!demographics_tickbox_check</vt:lpstr>
      <vt:lpstr>Dindicators</vt:lpstr>
      <vt:lpstr>divisionid</vt:lpstr>
      <vt:lpstr>Dobjectives</vt:lpstr>
      <vt:lpstr>elemgrade_list</vt:lpstr>
      <vt:lpstr>emp_status_list</vt:lpstr>
      <vt:lpstr>encoding_approver_email_range</vt:lpstr>
      <vt:lpstr>encoding_approver_firstname_range</vt:lpstr>
      <vt:lpstr>encoding_approver_info</vt:lpstr>
      <vt:lpstr>encoding_approver_lastname_range</vt:lpstr>
      <vt:lpstr>encoding_approver_middlename_range</vt:lpstr>
      <vt:lpstr>encoding_approver_position_range</vt:lpstr>
      <vt:lpstr>encoding_co_select</vt:lpstr>
      <vt:lpstr>encoding_cot_ave</vt:lpstr>
      <vt:lpstr>encoding_COT1_date</vt:lpstr>
      <vt:lpstr>encoding_COT1_ratings</vt:lpstr>
      <vt:lpstr>encoding_cot1_scale</vt:lpstr>
      <vt:lpstr>encoding_COT1_subject</vt:lpstr>
      <vt:lpstr>encoding_e_input</vt:lpstr>
      <vt:lpstr>encoding_q_input</vt:lpstr>
      <vt:lpstr>encoding_rater_email_range</vt:lpstr>
      <vt:lpstr>encoding_rater_firstname_range</vt:lpstr>
      <vt:lpstr>encoding_rater_info</vt:lpstr>
      <vt:lpstr>encoding_rater_lastname_range</vt:lpstr>
      <vt:lpstr>encoding_rater_middlename</vt:lpstr>
      <vt:lpstr>encoding_rater_middlename_range</vt:lpstr>
      <vt:lpstr>encoding_rater_position_range</vt:lpstr>
      <vt:lpstr>encoding_review_date_range</vt:lpstr>
      <vt:lpstr>encoding_t_input</vt:lpstr>
      <vt:lpstr>encoding_weights</vt:lpstr>
      <vt:lpstr>final_rating</vt:lpstr>
      <vt:lpstr>HP_COI</vt:lpstr>
      <vt:lpstr>HP_COT</vt:lpstr>
      <vt:lpstr>HP_COT_vlookup</vt:lpstr>
      <vt:lpstr>HP_COTno</vt:lpstr>
      <vt:lpstr>HP_Ind</vt:lpstr>
      <vt:lpstr>HP_positions</vt:lpstr>
      <vt:lpstr>HP_QET</vt:lpstr>
      <vt:lpstr>HPindicators</vt:lpstr>
      <vt:lpstr>HPobjectives</vt:lpstr>
      <vt:lpstr>jhsgrade_list</vt:lpstr>
      <vt:lpstr>kinder_list</vt:lpstr>
      <vt:lpstr>level_taught_list</vt:lpstr>
      <vt:lpstr>level_vlookup</vt:lpstr>
      <vt:lpstr>NCR_divlist</vt:lpstr>
      <vt:lpstr>NCR_vlookup</vt:lpstr>
      <vt:lpstr>NIR_divlist</vt:lpstr>
      <vt:lpstr>NIR_vlookup</vt:lpstr>
      <vt:lpstr>NoCOlist</vt:lpstr>
      <vt:lpstr>P_COI</vt:lpstr>
      <vt:lpstr>P_COT</vt:lpstr>
      <vt:lpstr>P_COT_vlookup</vt:lpstr>
      <vt:lpstr>P_COTno</vt:lpstr>
      <vt:lpstr>P_Ind</vt:lpstr>
      <vt:lpstr>P_positions</vt:lpstr>
      <vt:lpstr>P_QET</vt:lpstr>
      <vt:lpstr>'PART 1-D'!PART1_adjustable_rows</vt:lpstr>
      <vt:lpstr>'PART 1-HP'!PART1_adjustable_rows</vt:lpstr>
      <vt:lpstr>'PART 1-P'!PART1_adjustable_rows</vt:lpstr>
      <vt:lpstr>PART1_adjustable_rows</vt:lpstr>
      <vt:lpstr>Part1_data</vt:lpstr>
      <vt:lpstr>part4_areAllValid</vt:lpstr>
      <vt:lpstr>part4_behavioral</vt:lpstr>
      <vt:lpstr>part4_behavioral_adjustable_rows</vt:lpstr>
      <vt:lpstr>part4_behavioral_strengths</vt:lpstr>
      <vt:lpstr>part4_behavioral_weakness</vt:lpstr>
      <vt:lpstr>part4_finalize_attempt</vt:lpstr>
      <vt:lpstr>part4_functional</vt:lpstr>
      <vt:lpstr>part4_functional_adjustable_rows</vt:lpstr>
      <vt:lpstr>part4_functional_strengths</vt:lpstr>
      <vt:lpstr>part4_functional_weakness</vt:lpstr>
      <vt:lpstr>Pindicators</vt:lpstr>
      <vt:lpstr>Pobjectives</vt:lpstr>
      <vt:lpstr>positions_list</vt:lpstr>
      <vt:lpstr>'Encoding Part 1'!Print_Area</vt:lpstr>
      <vt:lpstr>'PART 1-BtP'!Print_Area</vt:lpstr>
      <vt:lpstr>'PART 1-D'!Print_Area</vt:lpstr>
      <vt:lpstr>'PART 1-HP'!Print_Area</vt:lpstr>
      <vt:lpstr>'PART 1-P'!Print_Area</vt:lpstr>
      <vt:lpstr>'Part 2-A'!Print_Area</vt:lpstr>
      <vt:lpstr>'Part 2-B'!Print_Area</vt:lpstr>
      <vt:lpstr>'PART 4-IDP'!Print_Area</vt:lpstr>
      <vt:lpstr>'PART 5-Commitment'!Print_Area</vt:lpstr>
      <vt:lpstr>Status!Print_Area</vt:lpstr>
      <vt:lpstr>'PART 1-BtP'!Print_Titles</vt:lpstr>
      <vt:lpstr>'PART 1-D'!Print_Titles</vt:lpstr>
      <vt:lpstr>'PART 1-HP'!Print_Titles</vt:lpstr>
      <vt:lpstr>'PART 1-P'!Print_Titles</vt:lpstr>
      <vt:lpstr>'PART 4-IDP'!Print_Titles</vt:lpstr>
      <vt:lpstr>'Demographic Profile'!profile_emp_info1</vt:lpstr>
      <vt:lpstr>Status!profile_emp_info1</vt:lpstr>
      <vt:lpstr>'Demographic Profile'!profile_emp_info2</vt:lpstr>
      <vt:lpstr>'Demographic Profile'!profile_school_info</vt:lpstr>
      <vt:lpstr>Status!profile_school_info</vt:lpstr>
      <vt:lpstr>'Demographic Profile'!profile_specialization</vt:lpstr>
      <vt:lpstr>'Demographic Profile'!profile_specialization_others</vt:lpstr>
      <vt:lpstr>'Demographic Profile'!profile_strands</vt:lpstr>
      <vt:lpstr>'Demographic Profile'!profile_subjects</vt:lpstr>
      <vt:lpstr>'Demographic Profile'!profile_subjects_others</vt:lpstr>
      <vt:lpstr>rater_position</vt:lpstr>
      <vt:lpstr>raterpositions_list</vt:lpstr>
      <vt:lpstr>rating_desc_vlookup</vt:lpstr>
      <vt:lpstr>REG1_divlist</vt:lpstr>
      <vt:lpstr>REG1_vlookup</vt:lpstr>
      <vt:lpstr>REG10_divlist</vt:lpstr>
      <vt:lpstr>REG10_vlookup</vt:lpstr>
      <vt:lpstr>REG11_divlist</vt:lpstr>
      <vt:lpstr>REG11_vlookup</vt:lpstr>
      <vt:lpstr>REG12_divlist</vt:lpstr>
      <vt:lpstr>REG12_vlookup</vt:lpstr>
      <vt:lpstr>REG13_divlist</vt:lpstr>
      <vt:lpstr>REG13_vlookup</vt:lpstr>
      <vt:lpstr>REG2_divlist</vt:lpstr>
      <vt:lpstr>REG2_vlookup</vt:lpstr>
      <vt:lpstr>REG3_divlist</vt:lpstr>
      <vt:lpstr>REG3_vlookup</vt:lpstr>
      <vt:lpstr>REG4A_divlist</vt:lpstr>
      <vt:lpstr>REG4A_vlookup</vt:lpstr>
      <vt:lpstr>REG4B_divlist</vt:lpstr>
      <vt:lpstr>REG4B_vlookup</vt:lpstr>
      <vt:lpstr>REG5_divlist</vt:lpstr>
      <vt:lpstr>REG5_vlookup</vt:lpstr>
      <vt:lpstr>REG6_divlist</vt:lpstr>
      <vt:lpstr>REG6_vlookup</vt:lpstr>
      <vt:lpstr>REG7_divlist</vt:lpstr>
      <vt:lpstr>REG7_vlookup</vt:lpstr>
      <vt:lpstr>REG8_divlist</vt:lpstr>
      <vt:lpstr>REG8_vlookup</vt:lpstr>
      <vt:lpstr>REG9_divlist</vt:lpstr>
      <vt:lpstr>REG9_vlookup</vt:lpstr>
      <vt:lpstr>regionid</vt:lpstr>
      <vt:lpstr>regions_list</vt:lpstr>
      <vt:lpstr>regions_vlookup</vt:lpstr>
      <vt:lpstr>RI_divlist</vt:lpstr>
      <vt:lpstr>RII_divlist</vt:lpstr>
      <vt:lpstr>RIII_divlist</vt:lpstr>
      <vt:lpstr>RIVA_divlist</vt:lpstr>
      <vt:lpstr>RIVB_divlist</vt:lpstr>
      <vt:lpstr>RIX_divlist</vt:lpstr>
      <vt:lpstr>RV_divlist</vt:lpstr>
      <vt:lpstr>RVI_divlist</vt:lpstr>
      <vt:lpstr>RVII_divlist</vt:lpstr>
      <vt:lpstr>RVIII_divlist</vt:lpstr>
      <vt:lpstr>RX_divlist</vt:lpstr>
      <vt:lpstr>RXI_divlist</vt:lpstr>
      <vt:lpstr>RXII_divlist</vt:lpstr>
      <vt:lpstr>school_name</vt:lpstr>
      <vt:lpstr>school_size_list</vt:lpstr>
      <vt:lpstr>school_type_list</vt:lpstr>
      <vt:lpstr>selected_career_stage</vt:lpstr>
      <vt:lpstr>sex_list</vt:lpstr>
      <vt:lpstr>shsgrade_list</vt:lpstr>
      <vt:lpstr>specialization_list</vt:lpstr>
      <vt:lpstr>status_version</vt:lpstr>
      <vt:lpstr>strands_list</vt:lpstr>
      <vt:lpstr>subjects</vt:lpstr>
      <vt:lpstr>subjects_list</vt:lpstr>
      <vt:lpstr>teacher_type_code_lookup</vt:lpstr>
      <vt:lpstr>teacher_type_list</vt:lpstr>
      <vt:lpstr>years_in_teaching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Rain;CHRISTINE ANNE PREPUSE</dc:creator>
  <cp:lastModifiedBy>EJONIE DEGOLLACION</cp:lastModifiedBy>
  <cp:lastPrinted>2026-06-23T07:07:01Z</cp:lastPrinted>
  <dcterms:created xsi:type="dcterms:W3CDTF">2023-05-06T06:44:50Z</dcterms:created>
  <dcterms:modified xsi:type="dcterms:W3CDTF">2026-06-23T07:14:00Z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0x010100D9FF6D245262764F8B8E097A91559D0A</vt:lpwstr>
  </property>
</Properties>
</file>